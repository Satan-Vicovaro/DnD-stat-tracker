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nrad\Desktop\Fantasy\dnd\"/>
    </mc:Choice>
  </mc:AlternateContent>
  <xr:revisionPtr revIDLastSave="0" documentId="13_ncr:1_{E37B4B15-81BC-42CE-BEB2-62C77A221E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kwipunek" sheetId="1" r:id="rId1"/>
    <sheet name="Broń biała" sheetId="2" r:id="rId2"/>
    <sheet name="Broń zasięgowa" sheetId="3" r:id="rId3"/>
    <sheet name="Tarcze" sheetId="5" r:id="rId4"/>
    <sheet name="Zbroje" sheetId="6" r:id="rId5"/>
    <sheet name="Różne" sheetId="4" r:id="rId6"/>
    <sheet name="Zajmowane miejsce" sheetId="9" r:id="rId7"/>
    <sheet name="Obl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  <c r="Q3" i="7" a="1"/>
  <c r="D87" i="7"/>
  <c r="D84" i="7"/>
  <c r="D90" i="7"/>
  <c r="D76" i="7"/>
  <c r="D41" i="7"/>
  <c r="D34" i="7"/>
  <c r="D14" i="1"/>
  <c r="D15" i="1"/>
  <c r="D21" i="1"/>
  <c r="J13" i="1"/>
  <c r="J12" i="1"/>
  <c r="D31" i="7"/>
  <c r="D37" i="7"/>
  <c r="D45" i="7"/>
  <c r="D49" i="7"/>
  <c r="D53" i="7"/>
  <c r="D7" i="7"/>
  <c r="D10" i="7"/>
  <c r="D15" i="7"/>
  <c r="D18" i="7"/>
  <c r="AN3" i="7"/>
  <c r="AN16" i="7"/>
  <c r="AJ16" i="7"/>
  <c r="AJ3" i="7"/>
  <c r="AF3" i="7"/>
  <c r="AF16" i="7"/>
  <c r="AB16" i="7"/>
  <c r="AC15" i="7"/>
  <c r="AG15" i="7"/>
  <c r="AK15" i="7"/>
  <c r="AO15" i="7"/>
  <c r="AO2" i="7"/>
  <c r="AK2" i="7"/>
  <c r="AG2" i="7"/>
  <c r="AC2" i="7"/>
  <c r="AB3" i="7"/>
  <c r="E43" i="1"/>
  <c r="E42" i="1"/>
  <c r="D16" i="1"/>
  <c r="H18" i="1"/>
  <c r="H17" i="1"/>
  <c r="I54" i="1"/>
  <c r="H48" i="1"/>
  <c r="H47" i="1"/>
  <c r="V21" i="7"/>
  <c r="V20" i="7"/>
  <c r="V19" i="7"/>
  <c r="V18" i="7"/>
  <c r="Q18" i="7" a="1"/>
  <c r="V7" i="7"/>
  <c r="V6" i="7"/>
  <c r="V4" i="7"/>
  <c r="V3" i="7"/>
  <c r="D92" i="7"/>
  <c r="D81" i="7"/>
  <c r="D79" i="7"/>
  <c r="D73" i="7"/>
  <c r="D70" i="7"/>
  <c r="D67" i="7"/>
  <c r="D64" i="7"/>
  <c r="D62" i="7"/>
  <c r="D59" i="7"/>
  <c r="D56" i="7"/>
  <c r="D27" i="7"/>
  <c r="D24" i="7"/>
  <c r="D21" i="7"/>
  <c r="D3" i="7"/>
  <c r="I8" i="1"/>
  <c r="I9" i="1"/>
  <c r="E40" i="1" a="1"/>
  <c r="E41" i="1"/>
  <c r="E44" i="1"/>
  <c r="E17" i="1" s="1"/>
  <c r="J4" i="1"/>
  <c r="J24" i="1" s="1"/>
  <c r="J60" i="1"/>
  <c r="E32" i="1"/>
  <c r="E33" i="1"/>
  <c r="E34" i="1"/>
  <c r="E31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10" i="1"/>
  <c r="J11" i="1"/>
  <c r="E9" i="1"/>
  <c r="D3" i="1"/>
  <c r="D13" i="1"/>
  <c r="E11" i="1"/>
  <c r="E10" i="1"/>
  <c r="E8" i="1"/>
  <c r="C21" i="1" s="1"/>
  <c r="E14" i="1" l="1"/>
  <c r="E15" i="1"/>
  <c r="Z6" i="7" a="1"/>
  <c r="C22" i="1"/>
  <c r="E22" i="1" s="1"/>
  <c r="Y5" i="1" s="1"/>
  <c r="E16" i="1"/>
  <c r="E21" i="1"/>
  <c r="AA12" i="7" a="1"/>
  <c r="AC12" i="7" a="1"/>
  <c r="AE24" i="7" a="1"/>
  <c r="AC23" i="7" a="1"/>
  <c r="AA22" i="7" a="1"/>
  <c r="AD17" i="7" a="1"/>
  <c r="AL17" i="7" a="1"/>
  <c r="AK22" i="7" a="1"/>
  <c r="AC24" i="7" a="1"/>
  <c r="AO22" i="7" a="1"/>
  <c r="AE23" i="7" a="1"/>
  <c r="AC22" i="7" a="1"/>
  <c r="Z17" i="7" a="1"/>
  <c r="AA23" i="7" a="1"/>
  <c r="AG24" i="7" a="1"/>
  <c r="AG23" i="7" a="1"/>
  <c r="AI24" i="7" a="1"/>
  <c r="AI22" i="7" a="1"/>
  <c r="AK23" i="7" a="1"/>
  <c r="AO23" i="7" a="1"/>
  <c r="AI23" i="7" a="1"/>
  <c r="AO24" i="7" a="1"/>
  <c r="AE22" i="7" a="1"/>
  <c r="AH17" i="7" a="1"/>
  <c r="AA24" i="7" a="1"/>
  <c r="AM23" i="7" a="1"/>
  <c r="AM24" i="7" a="1"/>
  <c r="AM22" i="7" a="1"/>
  <c r="AK24" i="7" a="1"/>
  <c r="AG22" i="7" a="1"/>
  <c r="AA10" i="7" a="1"/>
  <c r="AK11" i="7" a="1"/>
  <c r="AD6" i="7" a="1"/>
  <c r="AD18" i="7" a="1"/>
  <c r="AM12" i="7" a="1"/>
  <c r="AG10" i="7" a="1"/>
  <c r="AE11" i="7" a="1"/>
  <c r="AI11" i="7" a="1"/>
  <c r="Z4" i="7" a="1"/>
  <c r="AO11" i="7" a="1"/>
  <c r="AE10" i="7" a="1"/>
  <c r="Z18" i="7" a="1"/>
  <c r="AE12" i="7" a="1"/>
  <c r="AI10" i="7" a="1"/>
  <c r="AL18" i="7" a="1"/>
  <c r="AG12" i="7" a="1"/>
  <c r="AL6" i="7" a="1"/>
  <c r="AH18" i="7" a="1"/>
  <c r="AM10" i="7" a="1"/>
  <c r="AK12" i="7" a="1"/>
  <c r="AG11" i="7" a="1"/>
  <c r="AD4" i="7" a="1"/>
  <c r="AO12" i="7" a="1"/>
  <c r="AM11" i="7" a="1"/>
  <c r="AL4" i="7" a="1"/>
  <c r="AK10" i="7" a="1"/>
  <c r="AH4" i="7" a="1"/>
  <c r="AO10" i="7" a="1"/>
  <c r="AI12" i="7" a="1"/>
  <c r="AH6" i="7" a="1"/>
  <c r="AC10" i="7" a="1"/>
  <c r="AC11" i="7" a="1"/>
  <c r="AA11" i="7" a="1"/>
  <c r="M6" i="1"/>
  <c r="Q6" i="1" s="1"/>
  <c r="E13" i="1"/>
  <c r="L6" i="1" s="1"/>
  <c r="J9" i="1"/>
  <c r="H19" i="1"/>
  <c r="J8" i="1"/>
  <c r="C37" i="1"/>
  <c r="J54" i="1"/>
  <c r="I46" i="1"/>
  <c r="L27" i="1" l="1"/>
  <c r="L28" i="1"/>
  <c r="L39" i="1"/>
  <c r="L41" i="1"/>
  <c r="P40" i="1"/>
  <c r="P28" i="1"/>
  <c r="P29" i="1"/>
  <c r="T28" i="1"/>
  <c r="T39" i="1"/>
  <c r="T41" i="1"/>
  <c r="X27" i="1"/>
  <c r="X29" i="1"/>
  <c r="X39" i="1"/>
  <c r="X41" i="1"/>
  <c r="L29" i="1"/>
  <c r="L40" i="1"/>
  <c r="P39" i="1"/>
  <c r="P41" i="1"/>
  <c r="P27" i="1"/>
  <c r="T27" i="1"/>
  <c r="T29" i="1"/>
  <c r="T40" i="1"/>
  <c r="X28" i="1"/>
  <c r="X40" i="1"/>
  <c r="X22" i="1"/>
  <c r="I16" i="1"/>
  <c r="L35" i="1"/>
  <c r="P34" i="1"/>
  <c r="Q41" i="1"/>
  <c r="T33" i="1"/>
  <c r="P33" i="1"/>
  <c r="R29" i="1"/>
  <c r="R28" i="1"/>
  <c r="R27" i="1"/>
  <c r="P22" i="1"/>
  <c r="Q28" i="1"/>
  <c r="V20" i="1"/>
  <c r="AA39" i="1"/>
  <c r="Y39" i="1"/>
  <c r="X35" i="1"/>
  <c r="X33" i="1"/>
  <c r="X32" i="1"/>
  <c r="Z29" i="1"/>
  <c r="AA28" i="1"/>
  <c r="Y28" i="1"/>
  <c r="AA27" i="1"/>
  <c r="X21" i="1"/>
  <c r="U29" i="1"/>
  <c r="W41" i="1"/>
  <c r="U40" i="1"/>
  <c r="R39" i="1"/>
  <c r="P35" i="1"/>
  <c r="R32" i="1"/>
  <c r="AA41" i="1"/>
  <c r="Y41" i="1"/>
  <c r="Z40" i="1"/>
  <c r="Z39" i="1"/>
  <c r="X34" i="1"/>
  <c r="Z32" i="1"/>
  <c r="AA29" i="1"/>
  <c r="Y29" i="1"/>
  <c r="X23" i="1"/>
  <c r="X20" i="1"/>
  <c r="U28" i="1"/>
  <c r="T22" i="1"/>
  <c r="V39" i="1"/>
  <c r="Q29" i="1"/>
  <c r="S27" i="1"/>
  <c r="P23" i="1"/>
  <c r="Y40" i="1"/>
  <c r="Z27" i="1"/>
  <c r="Z20" i="1"/>
  <c r="W28" i="1"/>
  <c r="V28" i="1"/>
  <c r="W27" i="1"/>
  <c r="U27" i="1"/>
  <c r="T20" i="1"/>
  <c r="W39" i="1"/>
  <c r="T35" i="1"/>
  <c r="S41" i="1"/>
  <c r="S28" i="1"/>
  <c r="Z41" i="1"/>
  <c r="Y27" i="1"/>
  <c r="W29" i="1"/>
  <c r="V27" i="1"/>
  <c r="V41" i="1"/>
  <c r="W40" i="1"/>
  <c r="T34" i="1"/>
  <c r="T32" i="1"/>
  <c r="Q39" i="1"/>
  <c r="S29" i="1"/>
  <c r="Q27" i="1"/>
  <c r="R20" i="1"/>
  <c r="AA40" i="1"/>
  <c r="T23" i="1"/>
  <c r="U41" i="1"/>
  <c r="R41" i="1"/>
  <c r="S40" i="1"/>
  <c r="Q40" i="1"/>
  <c r="P21" i="1"/>
  <c r="Z28" i="1"/>
  <c r="V29" i="1"/>
  <c r="T21" i="1"/>
  <c r="V40" i="1"/>
  <c r="U39" i="1"/>
  <c r="V32" i="1"/>
  <c r="R40" i="1"/>
  <c r="S39" i="1"/>
  <c r="P32" i="1"/>
  <c r="P20" i="1"/>
  <c r="L16" i="1"/>
  <c r="L21" i="1"/>
  <c r="N41" i="1"/>
  <c r="N40" i="1"/>
  <c r="M39" i="1"/>
  <c r="L34" i="1"/>
  <c r="O29" i="1"/>
  <c r="N29" i="1"/>
  <c r="M28" i="1"/>
  <c r="O41" i="1"/>
  <c r="M41" i="1"/>
  <c r="O40" i="1"/>
  <c r="M40" i="1"/>
  <c r="O39" i="1"/>
  <c r="U18" i="7" s="1"/>
  <c r="N32" i="1"/>
  <c r="L22" i="1"/>
  <c r="N39" i="1"/>
  <c r="L32" i="1"/>
  <c r="L23" i="1"/>
  <c r="L33" i="1"/>
  <c r="O27" i="1"/>
  <c r="M27" i="1"/>
  <c r="O28" i="1"/>
  <c r="N20" i="1"/>
  <c r="N28" i="1"/>
  <c r="M29" i="1"/>
  <c r="N27" i="1"/>
  <c r="L20" i="1"/>
  <c r="W19" i="7"/>
  <c r="H49" i="1"/>
  <c r="H20" i="1"/>
  <c r="Y6" i="1"/>
  <c r="D37" i="1"/>
  <c r="P6" i="1"/>
  <c r="J16" i="1" l="1"/>
  <c r="U21" i="7"/>
  <c r="W21" i="7" s="1"/>
  <c r="U19" i="7"/>
  <c r="U20" i="7"/>
  <c r="W20" i="7" s="1"/>
  <c r="W18" i="7"/>
  <c r="U3" i="7"/>
  <c r="U7" i="7"/>
  <c r="W7" i="7" s="1"/>
  <c r="U6" i="7"/>
  <c r="W6" i="7" s="1"/>
  <c r="U4" i="7"/>
  <c r="W4" i="7" s="1"/>
  <c r="H50" i="1"/>
  <c r="W3" i="7" l="1"/>
  <c r="M16" i="1" s="1"/>
  <c r="N16" i="1" s="1"/>
  <c r="J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<sst xmlns="http://schemas.openxmlformats.org/spreadsheetml/2006/main" count="1636" uniqueCount="508">
  <si>
    <t>Statystyki</t>
  </si>
  <si>
    <t>Rodzaj</t>
  </si>
  <si>
    <t>1/10</t>
  </si>
  <si>
    <t>Siła</t>
  </si>
  <si>
    <t>2/10</t>
  </si>
  <si>
    <t>Zwinność</t>
  </si>
  <si>
    <t>5/10</t>
  </si>
  <si>
    <t xml:space="preserve">Wiedza </t>
  </si>
  <si>
    <t>Ilość</t>
  </si>
  <si>
    <t>Charyzma</t>
  </si>
  <si>
    <t>2,5/10</t>
  </si>
  <si>
    <t>Obrona</t>
  </si>
  <si>
    <t>3/10</t>
  </si>
  <si>
    <t>Akcje</t>
  </si>
  <si>
    <t>2,5*użyć/10</t>
  </si>
  <si>
    <t>1 lub 5/10</t>
  </si>
  <si>
    <t>narzędzia lekkie zbroje</t>
  </si>
  <si>
    <t>użycia/10</t>
  </si>
  <si>
    <t>plecak</t>
  </si>
  <si>
    <t>5 lub 10/10</t>
  </si>
  <si>
    <t>narzędzia ciężkie zbroje</t>
  </si>
  <si>
    <t>plecak podróżnika</t>
  </si>
  <si>
    <t>7,5 lub 20/10</t>
  </si>
  <si>
    <t>Pieniążki</t>
  </si>
  <si>
    <t>Muszkiet</t>
  </si>
  <si>
    <t xml:space="preserve">zbroja skórzana </t>
  </si>
  <si>
    <t>zbroja półpłytowa</t>
  </si>
  <si>
    <t>zbroja płytowa</t>
  </si>
  <si>
    <t>zbroja płytowa (stalowa)</t>
  </si>
  <si>
    <t>Zbroja</t>
  </si>
  <si>
    <t>Skórzana</t>
  </si>
  <si>
    <t>Półpłytowa</t>
  </si>
  <si>
    <t>trafienie</t>
  </si>
  <si>
    <t>mele</t>
  </si>
  <si>
    <t>d20+dex</t>
  </si>
  <si>
    <t>str</t>
  </si>
  <si>
    <t>d8+str</t>
  </si>
  <si>
    <t>d20+2xdex</t>
  </si>
  <si>
    <t>5ft</t>
  </si>
  <si>
    <t>d4+str</t>
  </si>
  <si>
    <t>d6+str</t>
  </si>
  <si>
    <t>d6+dex+str</t>
  </si>
  <si>
    <t>d12+2xstr</t>
  </si>
  <si>
    <t>d20+1/2dex</t>
  </si>
  <si>
    <t>d8+2xstr</t>
  </si>
  <si>
    <t>d20</t>
  </si>
  <si>
    <t>2d12+4xstr</t>
  </si>
  <si>
    <t>10ft</t>
  </si>
  <si>
    <t>d6+2xstr</t>
  </si>
  <si>
    <t>d10+2xstr</t>
  </si>
  <si>
    <t>40/200</t>
  </si>
  <si>
    <t>d10+4</t>
  </si>
  <si>
    <t>80/400</t>
  </si>
  <si>
    <t>2d10+8</t>
  </si>
  <si>
    <t>bełt</t>
  </si>
  <si>
    <t>bełt ciężki</t>
  </si>
  <si>
    <t>d4/d4+4</t>
  </si>
  <si>
    <t>płonący bełt</t>
  </si>
  <si>
    <t>d8+1/2str</t>
  </si>
  <si>
    <t>60/400</t>
  </si>
  <si>
    <t>strzała</t>
  </si>
  <si>
    <t>strzała giętka</t>
  </si>
  <si>
    <t>płonąca strzała</t>
  </si>
  <si>
    <t>3d6+6</t>
  </si>
  <si>
    <t>8d6+12</t>
  </si>
  <si>
    <t>kula</t>
  </si>
  <si>
    <t>amunicja przeciwpancerna</t>
  </si>
  <si>
    <t>d4+1/2str</t>
  </si>
  <si>
    <t>d4+1/2dex</t>
  </si>
  <si>
    <t xml:space="preserve">raz dziennie </t>
  </si>
  <si>
    <t>10min</t>
  </si>
  <si>
    <t>można go użyć raz po każdej walce, leczy d4 dmg za każde 10 życia postaci+wis (działa tylko na obrażenia zadane w walce po której zostanie użyte)</t>
  </si>
  <si>
    <t>woda, jedzenie. Liny, pochodnie, (w razie potrzeby dopisać) (zużywasz 1 dziennie + na różne akcje)</t>
  </si>
  <si>
    <t>~30</t>
  </si>
  <si>
    <t>5 akcji</t>
  </si>
  <si>
    <t>różnie</t>
  </si>
  <si>
    <t>~100</t>
  </si>
  <si>
    <t>~400</t>
  </si>
  <si>
    <t>~5</t>
  </si>
  <si>
    <t>wyglądasz jak chłop || możesz nosić jeden zestaw bez kary do miesjca w eq</t>
  </si>
  <si>
    <t>~50</t>
  </si>
  <si>
    <t>wyglądasz jak mieszczanin || możesz nosić jeden zestaw bez kary do miesjca w eq</t>
  </si>
  <si>
    <t>~500</t>
  </si>
  <si>
    <t>wyglądasz jak szlachcic || możesz nosić jeden zestaw bez kary do miesjca w eq</t>
  </si>
  <si>
    <t xml:space="preserve">może utrzymać do 20 strzał/bełtów || możecie nosić jeden przy sobie i jednen w eq nie używając miejsca </t>
  </si>
  <si>
    <t>dodaje 1 miesjce w ekwipuku || możesz nosić jeden bez kary do miesjca w eq</t>
  </si>
  <si>
    <t>dodaje 2 miesjce w ekwipuku || możesz nosić jeden bez kary do miesjca w eq</t>
  </si>
  <si>
    <t>koszt+20%</t>
  </si>
  <si>
    <t>dodają +1/2 miesjca w eq || miejsce staje się miejscem podręczym o ile nie nosisz zbroii || możesz nosić jeden zestaw bez kary do miesjca w eq</t>
  </si>
  <si>
    <t>4/20/100</t>
  </si>
  <si>
    <t>dodają +1/2 miesjca podręcznego || możesz nosić jeden zestaw bez kary do miesjca w eq</t>
  </si>
  <si>
    <t>1h</t>
  </si>
  <si>
    <t>naprawia 10 życia zbroii (posiada 4 użycia)</t>
  </si>
  <si>
    <t>naprawia 15 życia zbroii (posiada 6 użyć)</t>
  </si>
  <si>
    <t>~10</t>
  </si>
  <si>
    <t xml:space="preserve">posiada 8 miejsca </t>
  </si>
  <si>
    <t>posiada 32 miejsc</t>
  </si>
  <si>
    <t>~1000</t>
  </si>
  <si>
    <t>posiada 128 miejsc</t>
  </si>
  <si>
    <t>d6+1/2str</t>
  </si>
  <si>
    <t>15</t>
  </si>
  <si>
    <t>30</t>
  </si>
  <si>
    <t>50</t>
  </si>
  <si>
    <t>X</t>
  </si>
  <si>
    <t>Parametry</t>
  </si>
  <si>
    <t>Podstawa</t>
  </si>
  <si>
    <t>Modyfikatory postaci</t>
  </si>
  <si>
    <t>Wartości rozdane</t>
  </si>
  <si>
    <t>Użytkowe Statystyki</t>
  </si>
  <si>
    <t>Użytkowe parametry</t>
  </si>
  <si>
    <t>Max Życie</t>
  </si>
  <si>
    <t>LVL</t>
  </si>
  <si>
    <t>Ruch (ft)</t>
  </si>
  <si>
    <t>Magia</t>
  </si>
  <si>
    <t>Mana na turę</t>
  </si>
  <si>
    <t>Mana na dzień</t>
  </si>
  <si>
    <t>Pozostałe do rozdania statystyki</t>
  </si>
  <si>
    <t>Posiadasz</t>
  </si>
  <si>
    <t>Miejsce za Przedmiot</t>
  </si>
  <si>
    <t>Miejsce zużywane</t>
  </si>
  <si>
    <t>Modyfikator</t>
  </si>
  <si>
    <t>Dodawane miejsce</t>
  </si>
  <si>
    <t>Pasek z mocowaniem</t>
  </si>
  <si>
    <t>Ubrania z kieszeniami</t>
  </si>
  <si>
    <t>Suma:</t>
  </si>
  <si>
    <t>Miejsce zużyte</t>
  </si>
  <si>
    <t>Pozostałe miejsce</t>
  </si>
  <si>
    <t>Baza</t>
  </si>
  <si>
    <t>Miejsce Niepodręczne</t>
  </si>
  <si>
    <t>Pojemność max</t>
  </si>
  <si>
    <t>Miejsce na fragment</t>
  </si>
  <si>
    <t>Płytowa</t>
  </si>
  <si>
    <t>Stalowa</t>
  </si>
  <si>
    <t>Zużywane miejsce</t>
  </si>
  <si>
    <t>Max miejsce</t>
  </si>
  <si>
    <t>Pozostałe miesjce zbroii</t>
  </si>
  <si>
    <t>Rodzaj strzały/bełtu</t>
  </si>
  <si>
    <t>Przedmiot</t>
  </si>
  <si>
    <t>Pozostałe miesjce</t>
  </si>
  <si>
    <t xml:space="preserve">Pojemność max </t>
  </si>
  <si>
    <t>Zużyte miejsce</t>
  </si>
  <si>
    <t>Modyfikacje statystyk przez zbroję</t>
  </si>
  <si>
    <t>Miejsce Podręczne (wyekwipowanie przedmiotu - 0 akcji)</t>
  </si>
  <si>
    <t>Miejsce Niepodręczne (wyekwipowanie przedmiotu - 2 akcje)</t>
  </si>
  <si>
    <t>Plecy (wyekwipowanie przedmiotu - 1 akcja)</t>
  </si>
  <si>
    <t>Kołczan (wyekwipowanie przedmiotu - 0 akcji)</t>
  </si>
  <si>
    <t xml:space="preserve">Miejsce Podręczne </t>
  </si>
  <si>
    <t>Waga monet</t>
  </si>
  <si>
    <t>Srebrne</t>
  </si>
  <si>
    <t>Złote</t>
  </si>
  <si>
    <t>Miedziane</t>
  </si>
  <si>
    <t>Aktualne</t>
  </si>
  <si>
    <t>Życie w Walce</t>
  </si>
  <si>
    <t>Obrażenia</t>
  </si>
  <si>
    <t>Rodzaje leczenia i koszt</t>
  </si>
  <si>
    <t>1 sen</t>
  </si>
  <si>
    <t>d4+wie</t>
  </si>
  <si>
    <t>leczy max hp po krótkim odpoczynku</t>
  </si>
  <si>
    <t>naprawia 10 życia zbroii (posiada 8 użyć)</t>
  </si>
  <si>
    <t>Redukcja Fizycznych Obrażeń</t>
  </si>
  <si>
    <t xml:space="preserve">Przyrost: lvl, statystyki </t>
  </si>
  <si>
    <t>Postaci</t>
  </si>
  <si>
    <t>Zbroii</t>
  </si>
  <si>
    <t>Fizyczne</t>
  </si>
  <si>
    <t>Magiczne</t>
  </si>
  <si>
    <t>Nazwa</t>
  </si>
  <si>
    <t>Bazowe</t>
  </si>
  <si>
    <t>Wytrwałość</t>
  </si>
  <si>
    <t>Broń 1</t>
  </si>
  <si>
    <t>Broń 2</t>
  </si>
  <si>
    <t>Rodzaj/Ilość</t>
  </si>
  <si>
    <t>Opis</t>
  </si>
  <si>
    <t>Wykonanie w turze</t>
  </si>
  <si>
    <t>5*użycia/10</t>
  </si>
  <si>
    <t>1</t>
  </si>
  <si>
    <t>2</t>
  </si>
  <si>
    <t>2,5</t>
  </si>
  <si>
    <t>3</t>
  </si>
  <si>
    <t>5</t>
  </si>
  <si>
    <t>10</t>
  </si>
  <si>
    <t>7,5</t>
  </si>
  <si>
    <t>20</t>
  </si>
  <si>
    <t>0</t>
  </si>
  <si>
    <t>Karty Broń 1</t>
  </si>
  <si>
    <t>Karty Broń 2</t>
  </si>
  <si>
    <t>Dmg</t>
  </si>
  <si>
    <t>Trafienie</t>
  </si>
  <si>
    <t>Zasięg</t>
  </si>
  <si>
    <t>Akcja</t>
  </si>
  <si>
    <t>Ilośc celów</t>
  </si>
  <si>
    <t>Wyrzucona kostka</t>
  </si>
  <si>
    <t>Wartość dla karty</t>
  </si>
  <si>
    <t>ile</t>
  </si>
  <si>
    <t>liczba</t>
  </si>
  <si>
    <t>kostki</t>
  </si>
  <si>
    <t>Gracza</t>
  </si>
  <si>
    <t>Tura</t>
  </si>
  <si>
    <t>Na turę</t>
  </si>
  <si>
    <t>Zużyte</t>
  </si>
  <si>
    <t>Pozostałe</t>
  </si>
  <si>
    <t>Karta 1</t>
  </si>
  <si>
    <t>Użyta</t>
  </si>
  <si>
    <t>Karta 2</t>
  </si>
  <si>
    <t>Karta 3</t>
  </si>
  <si>
    <t>Karta 4</t>
  </si>
  <si>
    <t>karta 1</t>
  </si>
  <si>
    <t>karta 2</t>
  </si>
  <si>
    <t>karta 3</t>
  </si>
  <si>
    <t>karta 4</t>
  </si>
  <si>
    <t>akcje</t>
  </si>
  <si>
    <t>czy użyta?</t>
  </si>
  <si>
    <t>Max życie</t>
  </si>
  <si>
    <t>Kołczan</t>
  </si>
  <si>
    <t>Plecak podróżnika</t>
  </si>
  <si>
    <t>Plecak</t>
  </si>
  <si>
    <t>Przedmiot (max 6)</t>
  </si>
  <si>
    <t>Przedmiot (max 20)</t>
  </si>
  <si>
    <t>Ruch</t>
  </si>
  <si>
    <t>Mana na parametry (na 1 tura)</t>
  </si>
  <si>
    <t>Redukcja obrażeń</t>
  </si>
  <si>
    <t>Życie (leczenie)</t>
  </si>
  <si>
    <t>Punkty</t>
  </si>
  <si>
    <t>Przerzucenie kostki</t>
  </si>
  <si>
    <t>Inne</t>
  </si>
  <si>
    <t>1 s</t>
  </si>
  <si>
    <t>12,5 s</t>
  </si>
  <si>
    <t>1 opat (4s)</t>
  </si>
  <si>
    <t>1 lek (20s)</t>
  </si>
  <si>
    <t>Prosty</t>
  </si>
  <si>
    <t>Ręce</t>
  </si>
  <si>
    <t>Łokieto</t>
  </si>
  <si>
    <t>Sierpowy</t>
  </si>
  <si>
    <t>str+dex</t>
  </si>
  <si>
    <t>Kontra</t>
  </si>
  <si>
    <t>zawsze</t>
  </si>
  <si>
    <t>Wroga</t>
  </si>
  <si>
    <t>Zwykły, chamski atak</t>
  </si>
  <si>
    <t>Twój dex wlicza się do wyrzuconej kostki na trafienie (np. 17+3dex = kryt)</t>
  </si>
  <si>
    <t>Odepchnij wroga 5ft w wybranym kierunku (save: d20+str&gt;13+str) || Advantage na kolejny atak w cel tego ataku</t>
  </si>
  <si>
    <t>Cios</t>
  </si>
  <si>
    <t>Ogłuszacz</t>
  </si>
  <si>
    <t>Rąbanie</t>
  </si>
  <si>
    <t>d12+2xdex</t>
  </si>
  <si>
    <t>Gracza/Wroga</t>
  </si>
  <si>
    <t>Niszczysz drewnianą tarczę wroga || Dezaktywujesz do końca tury inne tarcze</t>
  </si>
  <si>
    <t>Wróg twojego rozmiaru traci cały ruch || Cel tego ataku otrzymuje -4 do rzutów wszystkimi kostkami (save: d20+str&gt;13+str)</t>
  </si>
  <si>
    <t>Mele</t>
  </si>
  <si>
    <t>Otrzymujesz 10ft ruchu (tylko raz)</t>
  </si>
  <si>
    <t>Cięcie</t>
  </si>
  <si>
    <t>Pchnięcie</t>
  </si>
  <si>
    <t>Rozbrojenie</t>
  </si>
  <si>
    <t>d6+1/2(dex+str)</t>
  </si>
  <si>
    <t>d8+1/2(dex+str)</t>
  </si>
  <si>
    <t>Doskakujesz 5ft a następnie wykonujesz atak</t>
  </si>
  <si>
    <t>Blok</t>
  </si>
  <si>
    <t>Zniwecz jedną akcje przeciniwka || Rozbrój wroga (save: d20+dex&gt;d20+dex wroga)</t>
  </si>
  <si>
    <t>Cios w plecy</t>
  </si>
  <si>
    <t>Sojusznika</t>
  </si>
  <si>
    <t xml:space="preserve">Zaatakuj sonsiadującego przeciwnika, po atakau sojusznika </t>
  </si>
  <si>
    <t>Zwykły atak</t>
  </si>
  <si>
    <t>Gracza/Soj</t>
  </si>
  <si>
    <t>Sojusznka/Wro</t>
  </si>
  <si>
    <t>Obuch</t>
  </si>
  <si>
    <t>Łamacz</t>
  </si>
  <si>
    <t>d20-4+dex</t>
  </si>
  <si>
    <t>d20-6+dex</t>
  </si>
  <si>
    <t>d20-2+dex</t>
  </si>
  <si>
    <t>Odbierz turę przeciwnikowi o str mniejszym od ciebie</t>
  </si>
  <si>
    <t>3xstr</t>
  </si>
  <si>
    <t>4xstr</t>
  </si>
  <si>
    <t>Advantage na kolejny atak przeciwko trafionemu przeciwnikowi o mniejszym str od ciebie</t>
  </si>
  <si>
    <t>2xstr</t>
  </si>
  <si>
    <t>Advantage na wszystkie ataki przeciwko trafionemu przeciwnikowi o mniejszym str od ciebie || Jeżeli nie trafisz, przeciwnik zostaje trafiony "Ciosem"</t>
  </si>
  <si>
    <t>W trakcie swojej tury możesz wykonac tylko jeden atak || Możesz wykonać tylko jeden atak na przeciwnika pozostajacego w twojej strefie kontrolii || Odpychasz wroga o 5ft (d20+str&gt;13+str)</t>
  </si>
  <si>
    <t>Ściana włóczni</t>
  </si>
  <si>
    <t>Pchnięcia</t>
  </si>
  <si>
    <t>Aktywój "Pchnięcia" po tym jak twój sojusznik aktywóje "Pchnięcia"</t>
  </si>
  <si>
    <t>Przygotowanie</t>
  </si>
  <si>
    <t>Wszystkie pchnięcia do końca następnej tury zadają d4+2xstr</t>
  </si>
  <si>
    <t>Ścięcie</t>
  </si>
  <si>
    <t>2d6+dex+str</t>
  </si>
  <si>
    <t>Rzuć d4, w przypadku, gdy wyrzucisz 4, zabij przeciwnika swojego rozmiaru lub zadaj 3xdmg przeciwnikowi większemu od siebie</t>
  </si>
  <si>
    <t>Nie możesz używać innej broni jednoręcznej||zadaje 50% dmg potworą (jeśli rzut ponirzej 16)</t>
  </si>
  <si>
    <t>Kontry</t>
  </si>
  <si>
    <t>Gdy przeciwnik nie trafi ataku wymierzonego w ciebie lub gdy zablokujesz atak przeciwnika, użyj "Cięcia" na przeciwniku</t>
  </si>
  <si>
    <t>Gilotyna</t>
  </si>
  <si>
    <t xml:space="preserve">Siekacz </t>
  </si>
  <si>
    <t>d6+2str</t>
  </si>
  <si>
    <t>sąsiedzi</t>
  </si>
  <si>
    <t>Jeżeli po tym gdy zadasz obrażenia przeciwnikowi, gdy zostanie mu mniej niż 8 życia, ten zostaje zabity || Niszczysz drewnianą tarczę wroga || Dezaktywujesz do końca tury inne tarcz</t>
  </si>
  <si>
    <t>Jeżeli po tym gdy zadasz obrażenia przeciwnikowi, gdy zostanie mu mniej niż 6 życia, ten zostanie zabity</t>
  </si>
  <si>
    <t>Ataku nie można zablokować || Jeżeli po tym gdy zadasz obrażenia przeciwnikowi, gdy zostanie mu mniej niż 20 życia, ten zostaje zabity</t>
  </si>
  <si>
    <t>2d6+(dex+str)</t>
  </si>
  <si>
    <t>3 w rzędzie</t>
  </si>
  <si>
    <t>Potężny atak na wprost</t>
  </si>
  <si>
    <t>Cięcie z zamachu</t>
  </si>
  <si>
    <t>Mele/5ft</t>
  </si>
  <si>
    <t>3 w łuku</t>
  </si>
  <si>
    <t>Potężny atak w łuku</t>
  </si>
  <si>
    <t>Bloki</t>
  </si>
  <si>
    <t>Zniwecz jedną akcję sonsiadującego przeciwnika (save: d20+2xdex&gt;rzut na trafienie wroga) || Możliwe 3 użycia</t>
  </si>
  <si>
    <t>Sojusznika/Wro</t>
  </si>
  <si>
    <t>Użyj dowolną kartę miecza dwóręcznego</t>
  </si>
  <si>
    <t xml:space="preserve">Spraw, że sąsiedzi przeciwnika mogą go raz zaatakować za darmo (save: d20+str&gt;15+2xstr) </t>
  </si>
  <si>
    <t>Uderzenie</t>
  </si>
  <si>
    <t xml:space="preserve">Przeciwnik zostaje przesunięty na koniec turn ordera (save: d20+str&gt;15+2xstr) </t>
  </si>
  <si>
    <t>Gracz</t>
  </si>
  <si>
    <t>Miażdżący cios</t>
  </si>
  <si>
    <t>Trzęsienei ziemi</t>
  </si>
  <si>
    <t>Zniwecz akcję istot sonsiadujących z polem ataku (save: d20+str&gt;15+2xstr) || Istoty na sonsiadujących polach otrzymuja d4+str dmg</t>
  </si>
  <si>
    <t>Wszystkie pchnięcia do końca następnej tury zadają d8+3xstr</t>
  </si>
  <si>
    <t>Szybkie uderzenia</t>
  </si>
  <si>
    <t>Zamachy</t>
  </si>
  <si>
    <t>d8+1,5str</t>
  </si>
  <si>
    <t>Odpycha 5ft || Możesz przerzucić 2 kostki w trakcie używania tej karty</t>
  </si>
  <si>
    <t>Możesz przerzucić 6 kostek w trakcie użwania tej karty</t>
  </si>
  <si>
    <t>Złapanie</t>
  </si>
  <si>
    <t>Przewracasz i przeciągasz istotę 10ft w wybranym kierunku nie oddalając jej od siebie (save: d20+str&gt;16+2str)</t>
  </si>
  <si>
    <t>Gdy sojusznik zaatakuje przeciwnika, możesz wykonać "Zamachy" || Sojusznik otrzymuje możliwość przerzucenia jednej ze swoich kostek w trakcie ataku</t>
  </si>
  <si>
    <t>Jeżeli po tym gdy zadasz obrażenia przeciwnikowi, gdy zostanie mu mniej niż 6 życia, ten zostaje zabity</t>
  </si>
  <si>
    <t>W trakcie swojej tury możesz wykonac tylko jeden atak || Możesz wykonać tylko jeden atak na przeciwnika pozostajacego w twojej strefie kontrolii || Odpychasz wroga o 5ft (d20+str&gt;13+2xstr)</t>
  </si>
  <si>
    <t>d4+2xstr</t>
  </si>
  <si>
    <t>d20+1dex</t>
  </si>
  <si>
    <t>Wbicie szpikulca</t>
  </si>
  <si>
    <t>Zamach toporem</t>
  </si>
  <si>
    <t>Przycągnięcie</t>
  </si>
  <si>
    <t>Przyciągasz istotę 10ft w wybranym kierunku (save: d20+str&gt;16+2str)</t>
  </si>
  <si>
    <t>d20+1/2xdex</t>
  </si>
  <si>
    <t>Strzał</t>
  </si>
  <si>
    <t>Strzał w brzuch</t>
  </si>
  <si>
    <t>Strzał w głowę</t>
  </si>
  <si>
    <t>Strzał przebijający</t>
  </si>
  <si>
    <t>Strzał w stópki</t>
  </si>
  <si>
    <t>d8+2</t>
  </si>
  <si>
    <t>2d8+4</t>
  </si>
  <si>
    <t>Przyczajenie</t>
  </si>
  <si>
    <t>2 w rzędzie</t>
  </si>
  <si>
    <t>3d10+12</t>
  </si>
  <si>
    <t>Szybkie strzały</t>
  </si>
  <si>
    <t>30/200</t>
  </si>
  <si>
    <t>Deszcz strzał</t>
  </si>
  <si>
    <t>5 pól</t>
  </si>
  <si>
    <t>po udanym trafieniu w przeciwnika możesz otrzymać adv na kolejne trafienia w tego przeciwnika lub adv na dmg na tego przeciwnika w tej turze (3 strzału)</t>
  </si>
  <si>
    <t>po udanym trafieniu w przeciwnika możesz otrzymać adv na kolejne trafienia w tego przeciwnika lub adv na dmg na tego przeciwnika w tej turze (1 strzała)</t>
  </si>
  <si>
    <t>Celny strzał</t>
  </si>
  <si>
    <t>d20+d4+2dex</t>
  </si>
  <si>
    <t>Strzał w oko</t>
  </si>
  <si>
    <t>120/400</t>
  </si>
  <si>
    <t>2d20+2d8+2dex</t>
  </si>
  <si>
    <t>d8+2str</t>
  </si>
  <si>
    <t>Twój dex wlicza się do wyrzuconej kostki na trafienie (np. 17+3dex = kryt) (1 strzała)</t>
  </si>
  <si>
    <t>Twój dex wlicza się do wyrzuconej kostki na trafienie (np. 17+3dex = kryt) || Jeżeli twój wynik na trafienie będzie większy niż 40, zadaj 4x obrażenia (1 strzała)</t>
  </si>
  <si>
    <t xml:space="preserve">Istoty na wybranych pięciu sonsiadujących plach jeżeli nie uda im się save throw, otrzymują obrażenia krytyczne (save: d20+dex&gt;14+dex) (8 strzał) </t>
  </si>
  <si>
    <t>Strzał ale nie tylko cel dostanie  (1 bełt)</t>
  </si>
  <si>
    <t>Gdy wróg pojawi się w twoim polu widzenie możesz wykonać "Strzał" (1 bełt)</t>
  </si>
  <si>
    <t>Zwykly strzał (1 bełt)</t>
  </si>
  <si>
    <t>Z tego się nie pozbiera (1 bełt)</t>
  </si>
  <si>
    <t>Przeciwnik nie może się ruszyć w tej turze (1 bełt)</t>
  </si>
  <si>
    <t>Przebij mu żołądek (1 bełt)</t>
  </si>
  <si>
    <t>Zwykły strzał (1 bełt)</t>
  </si>
  <si>
    <t>d12+d4+dex</t>
  </si>
  <si>
    <t>Kartacz</t>
  </si>
  <si>
    <t>2d6+3</t>
  </si>
  <si>
    <t>Istoty otrzymują obrażenia, jeżeli nie uda im się save throw (save: d20+str&gt;16) (1 kula)</t>
  </si>
  <si>
    <t>d20+4dex</t>
  </si>
  <si>
    <t xml:space="preserve">Strzał w łeb </t>
  </si>
  <si>
    <t>Jeżeli trafisz, obrażenia są podwajane (1 kula)</t>
  </si>
  <si>
    <t>30/50</t>
  </si>
  <si>
    <t>30/120</t>
  </si>
  <si>
    <t>Kulka w łeb</t>
  </si>
  <si>
    <t>60/120</t>
  </si>
  <si>
    <t>2d12+2xdex</t>
  </si>
  <si>
    <t>Zwykły strzał (1 kula)</t>
  </si>
  <si>
    <t>Zwykły strzał, ale celniejszy (1 kula)</t>
  </si>
  <si>
    <t>10d6+12</t>
  </si>
  <si>
    <t>Rzut/pchnięcie</t>
  </si>
  <si>
    <t>15/30/Mele</t>
  </si>
  <si>
    <t>Przebicie</t>
  </si>
  <si>
    <t>15/Mele</t>
  </si>
  <si>
    <t>Potężne pchnięcie lub rzut z bliska w przeciwnika</t>
  </si>
  <si>
    <t>Szybki rzut</t>
  </si>
  <si>
    <t>15/30</t>
  </si>
  <si>
    <t>Wykonaj atak gdy przeciwnik wejdzie w zasięg twojego rzutu || Zmniejsza ruch wroga o 15ft, w tej turze</t>
  </si>
  <si>
    <t>Rzut/zamach</t>
  </si>
  <si>
    <t>20/40/Mele</t>
  </si>
  <si>
    <t>Zmniejsza ruch wroga o 15ft, w następnej turze</t>
  </si>
  <si>
    <t>Zwykły atak toporkiem</t>
  </si>
  <si>
    <t>Szybkie ataki</t>
  </si>
  <si>
    <t>Otrzymujesz dwie karty "Rzutu/zamachu"</t>
  </si>
  <si>
    <t>Wykonujesz ataki w wroga, do momentu w którym któryś z nich nie trafi lub gdy wykonasz ich 6</t>
  </si>
  <si>
    <t>Sieczka</t>
  </si>
  <si>
    <t>25/50</t>
  </si>
  <si>
    <t>Zwykły atak sztyletem</t>
  </si>
  <si>
    <t>25/50/Mele</t>
  </si>
  <si>
    <t>Możesz wykonać rzuty wszsytkimi wyjętymi przez ciebie nożami</t>
  </si>
  <si>
    <t>d4</t>
  </si>
  <si>
    <t>Blok/Pchnięcie</t>
  </si>
  <si>
    <t>Pozycja obronna</t>
  </si>
  <si>
    <t>Możesz dokonać ataku lub zablokować jeden atak wroga (d20+4&lt;dmg wroga --&gt; tarcza zostaje niszczona)</t>
  </si>
  <si>
    <t>Możesz zablokować 2 ataki wroga (d20+4&lt;dmg wroga --&gt; tarcza zostaje niszczona)</t>
  </si>
  <si>
    <t>Szarża</t>
  </si>
  <si>
    <t>Otrzymuejsz 15ft ruchu (raz na turę) || Przeciwnik w którego uderzysz zostaje wyrzucony na koniec turn ordera</t>
  </si>
  <si>
    <t>Możesz dokonać ataku lub zablokować jeden atak wroga (d20+6&lt;dmg wroga --&gt; tarcza zostaje niszczona)</t>
  </si>
  <si>
    <t>Możesz zablokować 2 ataki wroga (d20+8&lt;dmg wroga --&gt; tarcza zostaje niszczona)</t>
  </si>
  <si>
    <t>Możesz dokonać ataku lub zablokować jeden atak wroga (d20+8&lt;dmg wroga --&gt; tarcza zostaje niszczona)</t>
  </si>
  <si>
    <t>Blok/Cios</t>
  </si>
  <si>
    <t>Nawałnica ostrzy</t>
  </si>
  <si>
    <t>Rzut/Pchnięcie</t>
  </si>
  <si>
    <t>Otrzymujesz 3 karty "Rzutu/Pchnięcia"</t>
  </si>
  <si>
    <t>Mistrz uników</t>
  </si>
  <si>
    <t>Do końca walki otrzymuejsz +2ac</t>
  </si>
  <si>
    <t>Możesz dokonać ataku lub zablokować jeden atak wroga (d20+12&lt;dmg wroga --&gt; tarcza zostaje niszczona)</t>
  </si>
  <si>
    <t>Drewniana ściana</t>
  </si>
  <si>
    <t>Możesz zablokować 2 ataki wroga wymierzone w ciebie lub sojusznika (d20+6&lt;dmg wroga --&gt; tarcza zostaje niszczona)</t>
  </si>
  <si>
    <t>Możesz zablokować 3 ataki wroga wymierzone w ciebie lub sojusznika (d20+8&lt;dmg wroga --&gt; tarcza zostaje niszczona)</t>
  </si>
  <si>
    <t>Nieporuszalny obiekt</t>
  </si>
  <si>
    <t>3,3</t>
  </si>
  <si>
    <t xml:space="preserve">Możesz zablokować wszystke ataki wroga wymierzone w ciebie (d20+8&lt;dmg wroga --&gt; tarcza zostaje niszczona) || Wróg nie może wyjść z twojej strefy kontrolii </t>
  </si>
  <si>
    <t>Możesz zablokować 2 ataki wroga (d20+12&lt;dmg wroga --&gt; tarcza zostaje niszczona)</t>
  </si>
  <si>
    <t>Możesz dokonać ataku lub zablokować jeden atak wroga (d20+16&lt;dmg wroga --&gt; tarcza zostaje niszczona)</t>
  </si>
  <si>
    <t>Możesz zablokować 3 ataki wroga wymierzone w ciebie lub sojusznika (d20+12&lt;dmg wroga --&gt; tarcza zostaje niszczona)</t>
  </si>
  <si>
    <t xml:space="preserve">Możesz zablokować wszystke ataki wroga wymierzone w ciebie (d20+12&lt;dmg wroga --&gt; tarcza zostaje niszczona) || Wróg nie może wyjść z twojej strefy kontrolii </t>
  </si>
  <si>
    <t>Koszt w srebrnych monetach</t>
  </si>
  <si>
    <t>Topór</t>
  </si>
  <si>
    <t>Miecz</t>
  </si>
  <si>
    <t>Buzdygan</t>
  </si>
  <si>
    <t>Włócznia</t>
  </si>
  <si>
    <t>Miecz długi</t>
  </si>
  <si>
    <t>Topór dwuręczny</t>
  </si>
  <si>
    <t>Miecz dwuręczny</t>
  </si>
  <si>
    <t>Młot dwuręczny</t>
  </si>
  <si>
    <t>Włócznia długa</t>
  </si>
  <si>
    <t>Morning star dwu.</t>
  </si>
  <si>
    <t>Halabarda</t>
  </si>
  <si>
    <t>Kusza ręczna</t>
  </si>
  <si>
    <t>Kusza ciężka</t>
  </si>
  <si>
    <t>Łuk krótki</t>
  </si>
  <si>
    <t>Łuk długi</t>
  </si>
  <si>
    <t>Samopał</t>
  </si>
  <si>
    <t>Oszczep</t>
  </si>
  <si>
    <t>Toporek do rzucania</t>
  </si>
  <si>
    <t>Noże do rzucania</t>
  </si>
  <si>
    <t>Tarcza okrągła (drewniana)</t>
  </si>
  <si>
    <t>Tarcza migdałowata (drewniana)</t>
  </si>
  <si>
    <t>Puklerz (drewniany)</t>
  </si>
  <si>
    <t>Tarcza rzymska (drewniana)</t>
  </si>
  <si>
    <t>Tarcza okrągła (żelana)</t>
  </si>
  <si>
    <t>Tarcza migdałowata (żelazna)</t>
  </si>
  <si>
    <t>Puklerz (żelazny)</t>
  </si>
  <si>
    <t>Morning star dwuręczny</t>
  </si>
  <si>
    <t>Tarcza okrągła (żelazna)</t>
  </si>
  <si>
    <t>Tarcza rzymska (żelazna)</t>
  </si>
  <si>
    <t>adv na ataki w płonącego przeciwnika (save: d20+str&lt;13)</t>
  </si>
  <si>
    <t>d4/2xd4</t>
  </si>
  <si>
    <t>ruch wroga zmniejszony zostaje o 10ft</t>
  </si>
  <si>
    <t>d4/d4+str</t>
  </si>
  <si>
    <t>amunicja rozbijająca</t>
  </si>
  <si>
    <t>d6+stała--&gt;d8+1,5stała</t>
  </si>
  <si>
    <t>d6+stała--&gt;2d4+0,5stała</t>
  </si>
  <si>
    <r>
      <t xml:space="preserve">Zniwecz </t>
    </r>
    <r>
      <rPr>
        <b/>
        <u/>
        <sz val="11"/>
        <color theme="1"/>
        <rFont val="Times New Roman"/>
        <family val="1"/>
        <charset val="238"/>
      </rPr>
      <t>jedną</t>
    </r>
    <r>
      <rPr>
        <sz val="11"/>
        <color theme="1"/>
        <rFont val="Times New Roman"/>
        <family val="1"/>
        <charset val="238"/>
      </rPr>
      <t xml:space="preserve"> akcję przeciwnika (skierowaną przeciw tobie)</t>
    </r>
  </si>
  <si>
    <r>
      <t xml:space="preserve">Zniwecz </t>
    </r>
    <r>
      <rPr>
        <b/>
        <u/>
        <sz val="11"/>
        <color theme="1"/>
        <rFont val="Times New Roman"/>
        <family val="1"/>
        <charset val="238"/>
      </rPr>
      <t>jedną</t>
    </r>
    <r>
      <rPr>
        <sz val="11"/>
        <color theme="1"/>
        <rFont val="Times New Roman"/>
        <family val="1"/>
        <charset val="238"/>
      </rPr>
      <t xml:space="preserve"> akcję sonsiadującego przeciwnika (save: d20+dex&gt;rzut na trafienie wroga)</t>
    </r>
  </si>
  <si>
    <t xml:space="preserve">Nazwa </t>
  </si>
  <si>
    <t xml:space="preserve">Akcje </t>
  </si>
  <si>
    <t>Ilość celów</t>
  </si>
  <si>
    <t>Zużywane miejsce z eq</t>
  </si>
  <si>
    <t>Działanie</t>
  </si>
  <si>
    <t>Używanie</t>
  </si>
  <si>
    <t>Koszt (srebro)</t>
  </si>
  <si>
    <t>Koszt</t>
  </si>
  <si>
    <t>Życie</t>
  </si>
  <si>
    <t>Maksymalna ilość zakupień</t>
  </si>
  <si>
    <t>Ilość redukowanych obrażeń</t>
  </si>
  <si>
    <t>Wpływ na parametry</t>
  </si>
  <si>
    <t>Obrona -0,4 || Akcje -0,2 || Wytrwałość -0,125 || Ruch -1</t>
  </si>
  <si>
    <t>Obrona -1 || Akcje -0,4 || Wytrwałość -0,25 || Ruch -1,5</t>
  </si>
  <si>
    <t>Obrona -2 || Akcje -0,8 || Wytrwałość -0,25 || Ruch -2</t>
  </si>
  <si>
    <t>Zaopatrzenie</t>
  </si>
  <si>
    <t xml:space="preserve">Leki </t>
  </si>
  <si>
    <t>Opatrunek</t>
  </si>
  <si>
    <t>Woda święcona</t>
  </si>
  <si>
    <t xml:space="preserve">Mała mikstura </t>
  </si>
  <si>
    <t>Średnia mikstrura</t>
  </si>
  <si>
    <t xml:space="preserve">Duża mikstura </t>
  </si>
  <si>
    <t>Ubrania chłopskie</t>
  </si>
  <si>
    <t>Ubrania mieszczańskie</t>
  </si>
  <si>
    <t>Ubrania szlacheckie</t>
  </si>
  <si>
    <t xml:space="preserve">Kołczan </t>
  </si>
  <si>
    <t>Ubranie z kieszeniami</t>
  </si>
  <si>
    <t>Narzędzia lekkie zbroje</t>
  </si>
  <si>
    <t>Narzędzia ciężkie zbroje</t>
  </si>
  <si>
    <t>Mały kamień magiczny</t>
  </si>
  <si>
    <t xml:space="preserve">Średni kamień magiczny </t>
  </si>
  <si>
    <t xml:space="preserve">Duży kamień magiczny </t>
  </si>
  <si>
    <t>Narzędzia do naprawy tarcz</t>
  </si>
  <si>
    <t>Zestaw naprawczy tarcze</t>
  </si>
  <si>
    <t>5s</t>
  </si>
  <si>
    <t>Naprawa tarczy u kowala</t>
  </si>
  <si>
    <t>Narzędzia do zbroii ciężkie</t>
  </si>
  <si>
    <t>Narzędzia do zbroii lekkie</t>
  </si>
  <si>
    <t>Naprawa u kowala</t>
  </si>
  <si>
    <t>Leczenie opatrunek</t>
  </si>
  <si>
    <t>Leczenie dzienne</t>
  </si>
  <si>
    <t>Naprawia</t>
  </si>
  <si>
    <t>Naprawa</t>
  </si>
  <si>
    <t>Leczy (hp)</t>
  </si>
  <si>
    <t>Leczy</t>
  </si>
  <si>
    <t>Zbroii/Tarczy</t>
  </si>
  <si>
    <t>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</si>
</sst>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zł&quot;;[Red]\-#,##0\ &quot;zł&quot;"/>
    <numFmt numFmtId="164" formatCode="_-* #,##0.00_-;\-* #,##0.00_-;_-* \-??_-;_-@_-"/>
    <numFmt numFmtId="165" formatCode="#,##0.0\ &quot;zł&quot;;[Red]\-#,##0.0\ &quot;zł&quot;"/>
    <numFmt numFmtId="166" formatCode="0.0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22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 tint="4.9897762993255407E-2"/>
      <name val="Times New Roman"/>
      <family val="1"/>
      <charset val="238"/>
    </font>
    <font>
      <sz val="22"/>
      <color theme="1"/>
      <name val="Times New Roman"/>
      <family val="1"/>
      <charset val="238"/>
    </font>
    <font>
      <b/>
      <sz val="20"/>
      <color theme="1"/>
      <name val="Times New Roman"/>
      <family val="1"/>
      <charset val="238"/>
    </font>
    <font>
      <sz val="8"/>
      <name val="Calibri"/>
      <family val="2"/>
    </font>
    <font>
      <b/>
      <sz val="11"/>
      <color theme="4" tint="0.79998168889431442"/>
      <name val="Times New Roman"/>
      <family val="1"/>
      <charset val="238"/>
    </font>
    <font>
      <b/>
      <sz val="11"/>
      <color theme="4" tint="0.59999389629810485"/>
      <name val="Times New Roman"/>
      <family val="1"/>
      <charset val="238"/>
    </font>
    <font>
      <sz val="11"/>
      <color theme="4" tint="0.59999389629810485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48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u/>
      <sz val="11"/>
      <color theme="1"/>
      <name val="Times New Roman"/>
      <family val="1"/>
      <charset val="238"/>
    </font>
    <font>
      <b/>
      <sz val="12"/>
      <color theme="1" tint="4.9897762993255407E-2"/>
      <name val="Times New Roman"/>
      <family val="1"/>
      <charset val="238"/>
    </font>
    <font>
      <b/>
      <sz val="14"/>
      <color theme="1" tint="4.9897762993255407E-2"/>
      <name val="Times New Roman"/>
      <family val="1"/>
      <charset val="238"/>
    </font>
    <font>
      <sz val="14"/>
      <color theme="1"/>
      <name val="Times New Roman"/>
      <family val="1"/>
      <charset val="238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59999389629810485"/>
        <bgColor rgb="FFBFBFB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rgb="FF7F7F7F"/>
      </patternFill>
    </fill>
    <fill>
      <patternFill patternType="solid">
        <fgColor rgb="FF6CA644"/>
        <bgColor indexed="64"/>
      </patternFill>
    </fill>
    <fill>
      <patternFill patternType="solid">
        <fgColor rgb="FF6CA644"/>
        <bgColor rgb="FF339966"/>
      </patternFill>
    </fill>
    <fill>
      <patternFill patternType="solid">
        <fgColor rgb="FFCDACE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767171"/>
      </patternFill>
    </fill>
    <fill>
      <patternFill patternType="solid">
        <fgColor theme="0" tint="-4.9989318521683403E-2"/>
        <bgColor rgb="FF767171"/>
      </patternFill>
    </fill>
    <fill>
      <patternFill patternType="solid">
        <fgColor theme="0" tint="-0.34998626667073579"/>
        <bgColor rgb="FF767171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rgb="FF3333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rgb="FF339966"/>
      </patternFill>
    </fill>
  </fills>
  <borders count="19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double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double">
        <color indexed="64"/>
      </right>
      <top/>
      <bottom style="thick">
        <color auto="1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double">
        <color auto="1"/>
      </right>
      <top/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/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double">
        <color auto="1"/>
      </right>
      <top/>
      <bottom style="thick">
        <color indexed="64"/>
      </bottom>
      <diagonal/>
    </border>
    <border>
      <left style="thin">
        <color indexed="64"/>
      </left>
      <right style="double">
        <color auto="1"/>
      </right>
      <top style="thick">
        <color indexed="64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ck">
        <color auto="1"/>
      </right>
      <top style="double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uble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thin">
        <color indexed="64"/>
      </right>
      <top/>
      <bottom style="thick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/>
      <diagonal/>
    </border>
    <border>
      <left style="thin">
        <color indexed="64"/>
      </left>
      <right/>
      <top style="thick">
        <color auto="1"/>
      </top>
      <bottom style="double">
        <color auto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indexed="64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double">
        <color indexed="64"/>
      </left>
      <right style="thick">
        <color auto="1"/>
      </right>
      <top/>
      <bottom style="double">
        <color auto="1"/>
      </bottom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 style="double">
        <color indexed="64"/>
      </right>
      <top style="thick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auto="1"/>
      </right>
      <top style="double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double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double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indexed="64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double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thick">
        <color auto="1"/>
      </left>
      <right/>
      <top style="thin">
        <color auto="1"/>
      </top>
      <bottom style="double">
        <color indexed="64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auto="1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71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6" xfId="0" applyBorder="1"/>
    <xf numFmtId="0" fontId="0" fillId="0" borderId="0" xfId="0" applyAlignment="1">
      <alignment vertical="center" wrapText="1"/>
    </xf>
    <xf numFmtId="0" fontId="0" fillId="0" borderId="13" xfId="0" applyBorder="1"/>
    <xf numFmtId="0" fontId="3" fillId="6" borderId="46" xfId="0" applyFont="1" applyFill="1" applyBorder="1" applyAlignment="1" applyProtection="1">
      <alignment horizontal="center" vertical="center"/>
      <protection locked="0"/>
    </xf>
    <xf numFmtId="0" fontId="3" fillId="5" borderId="101" xfId="0" applyFont="1" applyFill="1" applyBorder="1" applyAlignment="1" applyProtection="1">
      <alignment horizontal="center" vertical="center"/>
      <protection locked="0"/>
    </xf>
    <xf numFmtId="0" fontId="3" fillId="6" borderId="102" xfId="0" applyFont="1" applyFill="1" applyBorder="1" applyAlignment="1" applyProtection="1">
      <alignment horizontal="center" vertical="center"/>
      <protection locked="0"/>
    </xf>
    <xf numFmtId="0" fontId="3" fillId="5" borderId="93" xfId="0" applyFont="1" applyFill="1" applyBorder="1" applyAlignment="1" applyProtection="1">
      <alignment horizontal="center" vertical="center"/>
      <protection locked="0"/>
    </xf>
    <xf numFmtId="0" fontId="3" fillId="6" borderId="75" xfId="0" applyFont="1" applyFill="1" applyBorder="1" applyAlignment="1" applyProtection="1">
      <alignment horizontal="center" vertical="center"/>
      <protection locked="0"/>
    </xf>
    <xf numFmtId="0" fontId="3" fillId="5" borderId="70" xfId="0" applyFont="1" applyFill="1" applyBorder="1" applyAlignment="1" applyProtection="1">
      <alignment horizontal="center" vertical="center"/>
      <protection locked="0"/>
    </xf>
    <xf numFmtId="0" fontId="3" fillId="6" borderId="70" xfId="0" applyFont="1" applyFill="1" applyBorder="1" applyAlignment="1" applyProtection="1">
      <alignment horizontal="center" vertical="center"/>
      <protection locked="0"/>
    </xf>
    <xf numFmtId="0" fontId="3" fillId="5" borderId="60" xfId="0" applyFont="1" applyFill="1" applyBorder="1" applyAlignment="1" applyProtection="1">
      <alignment horizontal="center" vertical="center"/>
      <protection locked="0"/>
    </xf>
    <xf numFmtId="0" fontId="3" fillId="18" borderId="94" xfId="0" applyFont="1" applyFill="1" applyBorder="1" applyAlignment="1" applyProtection="1">
      <alignment horizontal="center" vertical="center"/>
      <protection locked="0"/>
    </xf>
    <xf numFmtId="0" fontId="3" fillId="17" borderId="95" xfId="0" applyFont="1" applyFill="1" applyBorder="1" applyAlignment="1" applyProtection="1">
      <alignment horizontal="center" vertical="center"/>
      <protection locked="0"/>
    </xf>
    <xf numFmtId="0" fontId="3" fillId="18" borderId="95" xfId="0" applyFont="1" applyFill="1" applyBorder="1" applyAlignment="1" applyProtection="1">
      <alignment horizontal="center" vertical="center"/>
      <protection locked="0"/>
    </xf>
    <xf numFmtId="0" fontId="3" fillId="17" borderId="97" xfId="0" applyFont="1" applyFill="1" applyBorder="1" applyAlignment="1" applyProtection="1">
      <alignment horizontal="center" vertical="center"/>
      <protection locked="0"/>
    </xf>
    <xf numFmtId="0" fontId="3" fillId="18" borderId="97" xfId="0" applyFont="1" applyFill="1" applyBorder="1" applyAlignment="1" applyProtection="1">
      <alignment horizontal="center" vertical="center"/>
      <protection locked="0"/>
    </xf>
    <xf numFmtId="0" fontId="10" fillId="6" borderId="27" xfId="0" applyFont="1" applyFill="1" applyBorder="1" applyAlignment="1" applyProtection="1">
      <alignment horizontal="center" vertical="center"/>
      <protection locked="0"/>
    </xf>
    <xf numFmtId="0" fontId="11" fillId="5" borderId="15" xfId="0" applyFont="1" applyFill="1" applyBorder="1" applyAlignment="1" applyProtection="1">
      <alignment horizontal="center" vertical="center"/>
      <protection locked="0"/>
    </xf>
    <xf numFmtId="0" fontId="10" fillId="6" borderId="15" xfId="0" applyFont="1" applyFill="1" applyBorder="1" applyAlignment="1" applyProtection="1">
      <alignment horizontal="center" vertical="center"/>
      <protection locked="0"/>
    </xf>
    <xf numFmtId="0" fontId="10" fillId="6" borderId="4" xfId="0" applyFont="1" applyFill="1" applyBorder="1" applyAlignment="1" applyProtection="1">
      <alignment horizontal="center" vertical="center"/>
      <protection locked="0"/>
    </xf>
    <xf numFmtId="0" fontId="3" fillId="11" borderId="25" xfId="0" applyFont="1" applyFill="1" applyBorder="1" applyAlignment="1" applyProtection="1">
      <alignment horizontal="center" vertical="center"/>
      <protection locked="0"/>
    </xf>
    <xf numFmtId="0" fontId="3" fillId="16" borderId="65" xfId="0" applyFont="1" applyFill="1" applyBorder="1" applyAlignment="1" applyProtection="1">
      <alignment horizontal="center" vertical="center"/>
      <protection locked="0"/>
    </xf>
    <xf numFmtId="0" fontId="3" fillId="12" borderId="65" xfId="0" applyFont="1" applyFill="1" applyBorder="1" applyAlignment="1" applyProtection="1">
      <alignment horizontal="center" vertical="center"/>
      <protection locked="0"/>
    </xf>
    <xf numFmtId="0" fontId="3" fillId="6" borderId="95" xfId="0" applyFont="1" applyFill="1" applyBorder="1" applyAlignment="1" applyProtection="1">
      <alignment horizontal="center" vertical="center"/>
      <protection locked="0"/>
    </xf>
    <xf numFmtId="0" fontId="3" fillId="5" borderId="111" xfId="0" applyFont="1" applyFill="1" applyBorder="1" applyAlignment="1" applyProtection="1">
      <alignment horizontal="center" vertical="center"/>
      <protection locked="0"/>
    </xf>
    <xf numFmtId="0" fontId="3" fillId="6" borderId="23" xfId="0" applyFont="1" applyFill="1" applyBorder="1" applyAlignment="1" applyProtection="1">
      <alignment horizontal="center" vertical="center"/>
      <protection locked="0"/>
    </xf>
    <xf numFmtId="0" fontId="3" fillId="6" borderId="94" xfId="0" applyFont="1" applyFill="1" applyBorder="1" applyAlignment="1" applyProtection="1">
      <alignment horizontal="center" vertical="center"/>
      <protection locked="0"/>
    </xf>
    <xf numFmtId="0" fontId="3" fillId="5" borderId="95" xfId="0" applyFont="1" applyFill="1" applyBorder="1" applyAlignment="1" applyProtection="1">
      <alignment horizontal="center" vertical="center"/>
      <protection locked="0"/>
    </xf>
    <xf numFmtId="0" fontId="3" fillId="9" borderId="94" xfId="0" applyFont="1" applyFill="1" applyBorder="1" applyAlignment="1" applyProtection="1">
      <alignment horizontal="center"/>
      <protection locked="0"/>
    </xf>
    <xf numFmtId="1" fontId="3" fillId="9" borderId="21" xfId="0" applyNumberFormat="1" applyFont="1" applyFill="1" applyBorder="1" applyAlignment="1" applyProtection="1">
      <alignment horizontal="center"/>
      <protection locked="0"/>
    </xf>
    <xf numFmtId="0" fontId="3" fillId="10" borderId="95" xfId="0" applyFont="1" applyFill="1" applyBorder="1" applyAlignment="1" applyProtection="1">
      <alignment horizontal="center"/>
      <protection locked="0"/>
    </xf>
    <xf numFmtId="0" fontId="3" fillId="10" borderId="23" xfId="0" applyFont="1" applyFill="1" applyBorder="1" applyAlignment="1" applyProtection="1">
      <alignment horizontal="center"/>
      <protection locked="0"/>
    </xf>
    <xf numFmtId="0" fontId="3" fillId="9" borderId="95" xfId="0" applyFont="1" applyFill="1" applyBorder="1" applyAlignment="1" applyProtection="1">
      <alignment horizontal="center"/>
      <protection locked="0"/>
    </xf>
    <xf numFmtId="0" fontId="3" fillId="9" borderId="23" xfId="0" applyFont="1" applyFill="1" applyBorder="1" applyAlignment="1" applyProtection="1">
      <alignment horizontal="center"/>
      <protection locked="0"/>
    </xf>
    <xf numFmtId="0" fontId="3" fillId="6" borderId="95" xfId="0" applyFont="1" applyFill="1" applyBorder="1" applyAlignment="1" applyProtection="1">
      <alignment horizontal="center"/>
      <protection locked="0"/>
    </xf>
    <xf numFmtId="0" fontId="3" fillId="6" borderId="23" xfId="0" applyFont="1" applyFill="1" applyBorder="1" applyAlignment="1" applyProtection="1">
      <alignment horizontal="center"/>
      <protection locked="0"/>
    </xf>
    <xf numFmtId="0" fontId="3" fillId="5" borderId="111" xfId="0" applyFont="1" applyFill="1" applyBorder="1" applyAlignment="1" applyProtection="1">
      <alignment horizontal="center"/>
      <protection locked="0"/>
    </xf>
    <xf numFmtId="0" fontId="3" fillId="5" borderId="93" xfId="0" applyFont="1" applyFill="1" applyBorder="1" applyAlignment="1" applyProtection="1">
      <alignment horizontal="center"/>
      <protection locked="0"/>
    </xf>
    <xf numFmtId="0" fontId="6" fillId="18" borderId="20" xfId="0" applyFont="1" applyFill="1" applyBorder="1" applyAlignment="1" applyProtection="1">
      <alignment horizontal="center" vertical="top"/>
      <protection locked="0"/>
    </xf>
    <xf numFmtId="0" fontId="6" fillId="17" borderId="14" xfId="0" applyFont="1" applyFill="1" applyBorder="1" applyAlignment="1" applyProtection="1">
      <alignment horizontal="center" vertical="top"/>
      <protection locked="0"/>
    </xf>
    <xf numFmtId="0" fontId="3" fillId="18" borderId="14" xfId="0" applyFont="1" applyFill="1" applyBorder="1" applyAlignment="1" applyProtection="1">
      <alignment horizontal="center" vertical="top"/>
      <protection locked="0"/>
    </xf>
    <xf numFmtId="0" fontId="3" fillId="17" borderId="14" xfId="0" applyFont="1" applyFill="1" applyBorder="1" applyAlignment="1" applyProtection="1">
      <alignment horizontal="center" vertical="top"/>
      <protection locked="0"/>
    </xf>
    <xf numFmtId="0" fontId="3" fillId="19" borderId="14" xfId="0" applyFont="1" applyFill="1" applyBorder="1" applyProtection="1">
      <protection locked="0"/>
    </xf>
    <xf numFmtId="0" fontId="3" fillId="16" borderId="43" xfId="0" applyFont="1" applyFill="1" applyBorder="1" applyProtection="1">
      <protection locked="0"/>
    </xf>
    <xf numFmtId="0" fontId="3" fillId="6" borderId="95" xfId="0" applyFont="1" applyFill="1" applyBorder="1" applyProtection="1">
      <protection locked="0"/>
    </xf>
    <xf numFmtId="0" fontId="3" fillId="16" borderId="23" xfId="0" applyFont="1" applyFill="1" applyBorder="1" applyProtection="1">
      <protection locked="0"/>
    </xf>
    <xf numFmtId="0" fontId="3" fillId="5" borderId="95" xfId="0" applyFont="1" applyFill="1" applyBorder="1" applyProtection="1">
      <protection locked="0"/>
    </xf>
    <xf numFmtId="0" fontId="3" fillId="19" borderId="43" xfId="0" applyFont="1" applyFill="1" applyBorder="1" applyProtection="1">
      <protection locked="0"/>
    </xf>
    <xf numFmtId="0" fontId="3" fillId="6" borderId="111" xfId="0" applyFont="1" applyFill="1" applyBorder="1" applyProtection="1">
      <protection locked="0"/>
    </xf>
    <xf numFmtId="0" fontId="3" fillId="19" borderId="43" xfId="0" applyFont="1" applyFill="1" applyBorder="1" applyAlignment="1" applyProtection="1">
      <alignment horizontal="center" vertical="top"/>
      <protection locked="0"/>
    </xf>
    <xf numFmtId="0" fontId="3" fillId="6" borderId="60" xfId="0" applyFont="1" applyFill="1" applyBorder="1" applyAlignment="1" applyProtection="1">
      <alignment horizontal="center" vertical="center"/>
      <protection locked="0"/>
    </xf>
    <xf numFmtId="0" fontId="12" fillId="5" borderId="156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0" fillId="0" borderId="6" xfId="0" applyBorder="1" applyProtection="1">
      <protection locked="0"/>
    </xf>
    <xf numFmtId="1" fontId="3" fillId="8" borderId="4" xfId="0" applyNumberFormat="1" applyFont="1" applyFill="1" applyBorder="1" applyAlignment="1" applyProtection="1">
      <alignment horizontal="center" vertical="center"/>
      <protection locked="0"/>
    </xf>
    <xf numFmtId="0" fontId="3" fillId="0" borderId="49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6" borderId="21" xfId="0" applyFont="1" applyFill="1" applyBorder="1" applyAlignment="1" applyProtection="1">
      <alignment horizontal="center" vertical="center"/>
      <protection locked="0"/>
    </xf>
    <xf numFmtId="0" fontId="3" fillId="5" borderId="23" xfId="0" applyFont="1" applyFill="1" applyBorder="1" applyAlignment="1" applyProtection="1">
      <alignment horizontal="center" vertical="center"/>
      <protection locked="0"/>
    </xf>
    <xf numFmtId="0" fontId="3" fillId="0" borderId="13" xfId="0" applyFont="1" applyBorder="1" applyProtection="1">
      <protection locked="0"/>
    </xf>
    <xf numFmtId="0" fontId="0" fillId="0" borderId="76" xfId="0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76" xfId="0" applyFont="1" applyBorder="1" applyAlignment="1" applyProtection="1">
      <alignment vertical="center" wrapText="1"/>
      <protection locked="0"/>
    </xf>
    <xf numFmtId="0" fontId="0" fillId="0" borderId="49" xfId="0" applyBorder="1" applyProtection="1">
      <protection locked="0"/>
    </xf>
    <xf numFmtId="0" fontId="3" fillId="8" borderId="6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7" borderId="39" xfId="0" applyFont="1" applyFill="1" applyBorder="1" applyAlignment="1">
      <alignment horizontal="center"/>
    </xf>
    <xf numFmtId="0" fontId="3" fillId="18" borderId="14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3" fillId="17" borderId="29" xfId="0" applyFont="1" applyFill="1" applyBorder="1" applyAlignment="1">
      <alignment horizontal="center" vertical="center"/>
    </xf>
    <xf numFmtId="0" fontId="3" fillId="20" borderId="110" xfId="0" applyFont="1" applyFill="1" applyBorder="1" applyAlignment="1">
      <alignment horizontal="center"/>
    </xf>
    <xf numFmtId="0" fontId="3" fillId="20" borderId="79" xfId="0" applyFont="1" applyFill="1" applyBorder="1" applyAlignment="1">
      <alignment horizontal="center"/>
    </xf>
    <xf numFmtId="0" fontId="3" fillId="3" borderId="100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4" borderId="106" xfId="0" applyFont="1" applyFill="1" applyBorder="1" applyAlignment="1">
      <alignment horizontal="center" vertical="center"/>
    </xf>
    <xf numFmtId="1" fontId="3" fillId="8" borderId="107" xfId="0" applyNumberFormat="1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1" fontId="3" fillId="7" borderId="26" xfId="0" applyNumberFormat="1" applyFont="1" applyFill="1" applyBorder="1" applyAlignment="1">
      <alignment horizontal="center" vertical="center"/>
    </xf>
    <xf numFmtId="0" fontId="3" fillId="4" borderId="101" xfId="0" applyFont="1" applyFill="1" applyBorder="1" applyAlignment="1">
      <alignment horizontal="center" vertical="center"/>
    </xf>
    <xf numFmtId="1" fontId="3" fillId="8" borderId="26" xfId="0" applyNumberFormat="1" applyFont="1" applyFill="1" applyBorder="1" applyAlignment="1">
      <alignment horizontal="center" vertical="center"/>
    </xf>
    <xf numFmtId="0" fontId="3" fillId="3" borderId="101" xfId="0" applyFont="1" applyFill="1" applyBorder="1" applyAlignment="1">
      <alignment horizontal="center" vertical="center"/>
    </xf>
    <xf numFmtId="1" fontId="3" fillId="7" borderId="109" xfId="0" applyNumberFormat="1" applyFont="1" applyFill="1" applyBorder="1" applyAlignment="1">
      <alignment horizontal="center" vertical="center"/>
    </xf>
    <xf numFmtId="0" fontId="3" fillId="4" borderId="103" xfId="0" applyFont="1" applyFill="1" applyBorder="1" applyAlignment="1">
      <alignment horizontal="center" vertical="center"/>
    </xf>
    <xf numFmtId="1" fontId="3" fillId="8" borderId="4" xfId="0" applyNumberFormat="1" applyFont="1" applyFill="1" applyBorder="1" applyAlignment="1">
      <alignment horizontal="center" vertical="center"/>
    </xf>
    <xf numFmtId="0" fontId="3" fillId="18" borderId="20" xfId="0" applyFont="1" applyFill="1" applyBorder="1" applyAlignment="1">
      <alignment horizontal="center" vertical="center"/>
    </xf>
    <xf numFmtId="0" fontId="3" fillId="18" borderId="29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3" xfId="0" applyFont="1" applyFill="1" applyBorder="1"/>
    <xf numFmtId="0" fontId="3" fillId="3" borderId="34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9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6" borderId="88" xfId="0" applyFont="1" applyFill="1" applyBorder="1" applyAlignment="1">
      <alignment horizontal="center" vertical="center"/>
    </xf>
    <xf numFmtId="0" fontId="2" fillId="19" borderId="90" xfId="0" applyFont="1" applyFill="1" applyBorder="1" applyAlignment="1">
      <alignment horizontal="center" vertical="center"/>
    </xf>
    <xf numFmtId="0" fontId="3" fillId="19" borderId="106" xfId="0" applyFont="1" applyFill="1" applyBorder="1" applyAlignment="1">
      <alignment horizontal="center" vertical="center"/>
    </xf>
    <xf numFmtId="0" fontId="3" fillId="19" borderId="68" xfId="0" applyFont="1" applyFill="1" applyBorder="1" applyAlignment="1">
      <alignment horizontal="center" vertical="center"/>
    </xf>
    <xf numFmtId="0" fontId="3" fillId="16" borderId="102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9" borderId="102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3" fillId="16" borderId="10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9" borderId="20" xfId="0" applyFont="1" applyFill="1" applyBorder="1"/>
    <xf numFmtId="0" fontId="3" fillId="16" borderId="14" xfId="0" applyFont="1" applyFill="1" applyBorder="1"/>
    <xf numFmtId="0" fontId="3" fillId="19" borderId="14" xfId="0" applyFont="1" applyFill="1" applyBorder="1"/>
    <xf numFmtId="0" fontId="3" fillId="16" borderId="43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105" xfId="0" applyFont="1" applyFill="1" applyBorder="1" applyAlignment="1">
      <alignment horizontal="center" vertical="center"/>
    </xf>
    <xf numFmtId="0" fontId="5" fillId="19" borderId="19" xfId="0" applyFont="1" applyFill="1" applyBorder="1"/>
    <xf numFmtId="0" fontId="5" fillId="16" borderId="24" xfId="0" applyFont="1" applyFill="1" applyBorder="1"/>
    <xf numFmtId="0" fontId="5" fillId="19" borderId="24" xfId="0" applyFont="1" applyFill="1" applyBorder="1"/>
    <xf numFmtId="0" fontId="5" fillId="19" borderId="25" xfId="0" applyFont="1" applyFill="1" applyBorder="1"/>
    <xf numFmtId="0" fontId="3" fillId="19" borderId="19" xfId="0" applyFont="1" applyFill="1" applyBorder="1" applyAlignment="1">
      <alignment vertical="center"/>
    </xf>
    <xf numFmtId="0" fontId="3" fillId="8" borderId="27" xfId="0" applyFont="1" applyFill="1" applyBorder="1" applyAlignment="1">
      <alignment horizontal="center" vertical="center"/>
    </xf>
    <xf numFmtId="0" fontId="3" fillId="16" borderId="24" xfId="0" applyFont="1" applyFill="1" applyBorder="1" applyAlignment="1">
      <alignment vertical="center"/>
    </xf>
    <xf numFmtId="0" fontId="3" fillId="7" borderId="15" xfId="0" applyFont="1" applyFill="1" applyBorder="1" applyAlignment="1">
      <alignment horizontal="center" vertical="center"/>
    </xf>
    <xf numFmtId="0" fontId="3" fillId="19" borderId="24" xfId="0" applyFont="1" applyFill="1" applyBorder="1" applyAlignment="1">
      <alignment vertical="center"/>
    </xf>
    <xf numFmtId="2" fontId="3" fillId="8" borderId="15" xfId="0" applyNumberFormat="1" applyFont="1" applyFill="1" applyBorder="1" applyAlignment="1">
      <alignment horizontal="center" vertical="center"/>
    </xf>
    <xf numFmtId="0" fontId="3" fillId="19" borderId="25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horizontal="center"/>
    </xf>
    <xf numFmtId="0" fontId="3" fillId="19" borderId="20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9" borderId="14" xfId="0" applyFont="1" applyFill="1" applyBorder="1" applyAlignment="1">
      <alignment horizontal="center" vertical="center"/>
    </xf>
    <xf numFmtId="0" fontId="3" fillId="16" borderId="43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/>
    </xf>
    <xf numFmtId="0" fontId="3" fillId="3" borderId="105" xfId="0" applyFont="1" applyFill="1" applyBorder="1" applyAlignment="1">
      <alignment horizontal="center"/>
    </xf>
    <xf numFmtId="0" fontId="3" fillId="8" borderId="68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3" borderId="114" xfId="0" applyFont="1" applyFill="1" applyBorder="1" applyAlignment="1">
      <alignment horizontal="center"/>
    </xf>
    <xf numFmtId="0" fontId="3" fillId="3" borderId="115" xfId="0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/>
    </xf>
    <xf numFmtId="0" fontId="3" fillId="4" borderId="83" xfId="0" applyFont="1" applyFill="1" applyBorder="1" applyAlignment="1">
      <alignment horizontal="center" vertical="center"/>
    </xf>
    <xf numFmtId="0" fontId="3" fillId="3" borderId="112" xfId="0" applyFont="1" applyFill="1" applyBorder="1" applyAlignment="1">
      <alignment horizontal="center" vertical="center"/>
    </xf>
    <xf numFmtId="0" fontId="3" fillId="19" borderId="4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7" borderId="109" xfId="0" applyFont="1" applyFill="1" applyBorder="1" applyAlignment="1">
      <alignment horizontal="center"/>
    </xf>
    <xf numFmtId="0" fontId="3" fillId="8" borderId="109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3" borderId="118" xfId="0" applyFont="1" applyFill="1" applyBorder="1" applyAlignment="1">
      <alignment horizontal="center"/>
    </xf>
    <xf numFmtId="0" fontId="3" fillId="3" borderId="117" xfId="0" applyFont="1" applyFill="1" applyBorder="1" applyAlignment="1">
      <alignment horizontal="center"/>
    </xf>
    <xf numFmtId="0" fontId="3" fillId="3" borderId="119" xfId="0" applyFont="1" applyFill="1" applyBorder="1" applyAlignment="1">
      <alignment horizontal="center"/>
    </xf>
    <xf numFmtId="0" fontId="3" fillId="3" borderId="120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3" fillId="3" borderId="13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0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/>
    </xf>
    <xf numFmtId="0" fontId="3" fillId="3" borderId="132" xfId="0" applyFont="1" applyFill="1" applyBorder="1" applyAlignment="1">
      <alignment horizontal="center"/>
    </xf>
    <xf numFmtId="0" fontId="3" fillId="3" borderId="99" xfId="0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0" fontId="3" fillId="4" borderId="94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165" fontId="3" fillId="4" borderId="70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3" borderId="153" xfId="0" applyFont="1" applyFill="1" applyBorder="1" applyAlignment="1">
      <alignment horizontal="center"/>
    </xf>
    <xf numFmtId="0" fontId="3" fillId="3" borderId="125" xfId="0" applyFont="1" applyFill="1" applyBorder="1" applyAlignment="1">
      <alignment horizontal="center"/>
    </xf>
    <xf numFmtId="0" fontId="3" fillId="3" borderId="1" xfId="0" applyFont="1" applyFill="1" applyBorder="1"/>
    <xf numFmtId="0" fontId="3" fillId="16" borderId="152" xfId="0" applyFont="1" applyFill="1" applyBorder="1"/>
    <xf numFmtId="0" fontId="3" fillId="8" borderId="149" xfId="0" applyFont="1" applyFill="1" applyBorder="1" applyAlignment="1">
      <alignment horizontal="center" vertical="center"/>
    </xf>
    <xf numFmtId="0" fontId="3" fillId="16" borderId="150" xfId="0" applyFont="1" applyFill="1" applyBorder="1"/>
    <xf numFmtId="0" fontId="3" fillId="8" borderId="151" xfId="0" applyFont="1" applyFill="1" applyBorder="1" applyAlignment="1">
      <alignment horizontal="center"/>
    </xf>
    <xf numFmtId="0" fontId="3" fillId="19" borderId="54" xfId="0" applyFont="1" applyFill="1" applyBorder="1"/>
    <xf numFmtId="0" fontId="3" fillId="7" borderId="146" xfId="0" applyFont="1" applyFill="1" applyBorder="1" applyAlignment="1">
      <alignment horizontal="center" vertical="center"/>
    </xf>
    <xf numFmtId="0" fontId="3" fillId="19" borderId="147" xfId="0" applyFont="1" applyFill="1" applyBorder="1"/>
    <xf numFmtId="0" fontId="3" fillId="7" borderId="73" xfId="0" applyFont="1" applyFill="1" applyBorder="1" applyAlignment="1">
      <alignment horizontal="center"/>
    </xf>
    <xf numFmtId="0" fontId="3" fillId="16" borderId="25" xfId="0" applyFont="1" applyFill="1" applyBorder="1"/>
    <xf numFmtId="0" fontId="3" fillId="8" borderId="135" xfId="0" applyFont="1" applyFill="1" applyBorder="1" applyAlignment="1">
      <alignment horizontal="center" vertical="center"/>
    </xf>
    <xf numFmtId="0" fontId="3" fillId="16" borderId="148" xfId="0" applyFont="1" applyFill="1" applyBorder="1"/>
    <xf numFmtId="0" fontId="3" fillId="8" borderId="4" xfId="0" applyFont="1" applyFill="1" applyBorder="1" applyAlignment="1">
      <alignment horizontal="center"/>
    </xf>
    <xf numFmtId="0" fontId="3" fillId="3" borderId="157" xfId="0" applyFont="1" applyFill="1" applyBorder="1"/>
    <xf numFmtId="0" fontId="3" fillId="19" borderId="167" xfId="0" applyFont="1" applyFill="1" applyBorder="1" applyAlignment="1">
      <alignment horizontal="center" vertical="center"/>
    </xf>
    <xf numFmtId="0" fontId="3" fillId="6" borderId="168" xfId="0" applyFont="1" applyFill="1" applyBorder="1" applyAlignment="1" applyProtection="1">
      <alignment horizontal="center" vertical="center"/>
      <protection locked="0"/>
    </xf>
    <xf numFmtId="0" fontId="3" fillId="6" borderId="169" xfId="0" applyFont="1" applyFill="1" applyBorder="1" applyAlignment="1" applyProtection="1">
      <alignment horizontal="center" vertical="center"/>
      <protection locked="0"/>
    </xf>
    <xf numFmtId="0" fontId="3" fillId="8" borderId="170" xfId="0" applyFont="1" applyFill="1" applyBorder="1" applyAlignment="1">
      <alignment horizontal="center" vertical="center"/>
    </xf>
    <xf numFmtId="1" fontId="3" fillId="7" borderId="172" xfId="0" applyNumberFormat="1" applyFont="1" applyFill="1" applyBorder="1" applyAlignment="1">
      <alignment horizontal="center" vertical="center"/>
    </xf>
    <xf numFmtId="0" fontId="3" fillId="4" borderId="173" xfId="0" applyFont="1" applyFill="1" applyBorder="1"/>
    <xf numFmtId="0" fontId="3" fillId="13" borderId="138" xfId="0" applyFont="1" applyFill="1" applyBorder="1" applyAlignment="1">
      <alignment vertical="center"/>
    </xf>
    <xf numFmtId="0" fontId="3" fillId="13" borderId="22" xfId="0" applyFont="1" applyFill="1" applyBorder="1" applyAlignment="1">
      <alignment vertical="center"/>
    </xf>
    <xf numFmtId="0" fontId="0" fillId="7" borderId="176" xfId="0" applyFill="1" applyBorder="1" applyAlignment="1" applyProtection="1">
      <alignment horizontal="center" vertical="center"/>
      <protection locked="0"/>
    </xf>
    <xf numFmtId="0" fontId="0" fillId="8" borderId="175" xfId="0" applyFill="1" applyBorder="1" applyAlignment="1" applyProtection="1">
      <alignment horizontal="center"/>
      <protection locked="0"/>
    </xf>
    <xf numFmtId="0" fontId="0" fillId="8" borderId="6" xfId="0" applyFill="1" applyBorder="1" applyAlignment="1">
      <alignment horizontal="center"/>
    </xf>
    <xf numFmtId="1" fontId="0" fillId="7" borderId="151" xfId="0" applyNumberFormat="1" applyFill="1" applyBorder="1" applyAlignment="1">
      <alignment horizontal="center"/>
    </xf>
    <xf numFmtId="0" fontId="0" fillId="3" borderId="17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3" borderId="177" xfId="0" applyFont="1" applyFill="1" applyBorder="1" applyAlignment="1">
      <alignment horizontal="center"/>
    </xf>
    <xf numFmtId="0" fontId="3" fillId="3" borderId="178" xfId="0" applyFont="1" applyFill="1" applyBorder="1" applyAlignment="1">
      <alignment horizontal="center"/>
    </xf>
    <xf numFmtId="0" fontId="3" fillId="3" borderId="179" xfId="0" applyFont="1" applyFill="1" applyBorder="1" applyAlignment="1">
      <alignment horizontal="center"/>
    </xf>
    <xf numFmtId="0" fontId="0" fillId="3" borderId="177" xfId="0" applyFill="1" applyBorder="1" applyAlignment="1">
      <alignment horizontal="center"/>
    </xf>
    <xf numFmtId="0" fontId="0" fillId="3" borderId="178" xfId="0" applyFill="1" applyBorder="1" applyAlignment="1">
      <alignment horizontal="center"/>
    </xf>
    <xf numFmtId="0" fontId="0" fillId="3" borderId="179" xfId="0" applyFill="1" applyBorder="1" applyAlignment="1">
      <alignment horizontal="center"/>
    </xf>
    <xf numFmtId="0" fontId="0" fillId="7" borderId="180" xfId="0" applyFill="1" applyBorder="1" applyAlignment="1" applyProtection="1">
      <alignment horizontal="center" vertical="center"/>
      <protection locked="0"/>
    </xf>
    <xf numFmtId="0" fontId="0" fillId="8" borderId="181" xfId="0" applyFill="1" applyBorder="1" applyAlignment="1" applyProtection="1">
      <alignment horizontal="center" vertical="center"/>
      <protection locked="0"/>
    </xf>
    <xf numFmtId="0" fontId="0" fillId="7" borderId="181" xfId="0" applyFill="1" applyBorder="1" applyAlignment="1" applyProtection="1">
      <alignment horizontal="center" vertical="center"/>
      <protection locked="0"/>
    </xf>
    <xf numFmtId="0" fontId="0" fillId="8" borderId="182" xfId="0" applyFill="1" applyBorder="1" applyAlignment="1" applyProtection="1">
      <alignment horizontal="center" vertical="center"/>
      <protection locked="0"/>
    </xf>
    <xf numFmtId="0" fontId="0" fillId="7" borderId="60" xfId="0" applyFill="1" applyBorder="1" applyAlignment="1" applyProtection="1">
      <alignment horizontal="center" vertical="center"/>
      <protection locked="0"/>
    </xf>
    <xf numFmtId="0" fontId="0" fillId="8" borderId="65" xfId="0" applyFill="1" applyBorder="1" applyAlignment="1" applyProtection="1">
      <alignment horizontal="center" vertical="center"/>
      <protection locked="0"/>
    </xf>
    <xf numFmtId="0" fontId="0" fillId="7" borderId="65" xfId="0" applyFill="1" applyBorder="1" applyAlignment="1" applyProtection="1">
      <alignment horizontal="center" vertical="center"/>
      <protection locked="0"/>
    </xf>
    <xf numFmtId="0" fontId="0" fillId="8" borderId="72" xfId="0" applyFill="1" applyBorder="1" applyAlignment="1" applyProtection="1">
      <alignment horizontal="center" vertical="center"/>
      <protection locked="0"/>
    </xf>
    <xf numFmtId="0" fontId="13" fillId="24" borderId="3" xfId="0" applyFont="1" applyFill="1" applyBorder="1" applyAlignment="1">
      <alignment horizontal="center"/>
    </xf>
    <xf numFmtId="0" fontId="13" fillId="24" borderId="0" xfId="0" applyFont="1" applyFill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154" xfId="0" applyFont="1" applyFill="1" applyBorder="1" applyAlignment="1">
      <alignment horizontal="center"/>
    </xf>
    <xf numFmtId="0" fontId="3" fillId="6" borderId="99" xfId="0" applyFont="1" applyFill="1" applyBorder="1" applyAlignment="1" applyProtection="1">
      <alignment horizontal="center"/>
      <protection locked="0"/>
    </xf>
    <xf numFmtId="0" fontId="3" fillId="6" borderId="9" xfId="0" applyFont="1" applyFill="1" applyBorder="1" applyAlignment="1" applyProtection="1">
      <alignment horizontal="center"/>
      <protection locked="0"/>
    </xf>
    <xf numFmtId="0" fontId="3" fillId="23" borderId="116" xfId="0" applyFont="1" applyFill="1" applyBorder="1" applyAlignment="1">
      <alignment horizontal="center"/>
    </xf>
    <xf numFmtId="0" fontId="3" fillId="23" borderId="155" xfId="0" applyFont="1" applyFill="1" applyBorder="1" applyAlignment="1">
      <alignment horizontal="center"/>
    </xf>
    <xf numFmtId="0" fontId="3" fillId="19" borderId="136" xfId="0" applyFont="1" applyFill="1" applyBorder="1" applyAlignment="1">
      <alignment horizontal="center" vertical="center" wrapText="1"/>
    </xf>
    <xf numFmtId="0" fontId="3" fillId="19" borderId="133" xfId="0" applyFont="1" applyFill="1" applyBorder="1" applyAlignment="1">
      <alignment horizontal="center" vertical="center" wrapText="1"/>
    </xf>
    <xf numFmtId="0" fontId="3" fillId="19" borderId="145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13" fillId="24" borderId="142" xfId="0" applyFont="1" applyFill="1" applyBorder="1" applyAlignment="1">
      <alignment horizontal="center"/>
    </xf>
    <xf numFmtId="0" fontId="13" fillId="24" borderId="143" xfId="0" applyFont="1" applyFill="1" applyBorder="1" applyAlignment="1">
      <alignment horizontal="center"/>
    </xf>
    <xf numFmtId="0" fontId="13" fillId="24" borderId="144" xfId="0" applyFont="1" applyFill="1" applyBorder="1" applyAlignment="1">
      <alignment horizontal="center"/>
    </xf>
    <xf numFmtId="0" fontId="3" fillId="13" borderId="13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0" fontId="2" fillId="21" borderId="32" xfId="0" applyFont="1" applyFill="1" applyBorder="1" applyAlignment="1">
      <alignment horizontal="center"/>
    </xf>
    <xf numFmtId="0" fontId="2" fillId="21" borderId="49" xfId="0" applyFont="1" applyFill="1" applyBorder="1" applyAlignment="1">
      <alignment horizontal="center"/>
    </xf>
    <xf numFmtId="0" fontId="2" fillId="21" borderId="86" xfId="0" applyFont="1" applyFill="1" applyBorder="1" applyAlignment="1">
      <alignment horizontal="center"/>
    </xf>
    <xf numFmtId="0" fontId="2" fillId="21" borderId="108" xfId="0" applyFont="1" applyFill="1" applyBorder="1" applyAlignment="1">
      <alignment horizontal="center"/>
    </xf>
    <xf numFmtId="0" fontId="2" fillId="21" borderId="41" xfId="0" applyFont="1" applyFill="1" applyBorder="1" applyAlignment="1">
      <alignment horizontal="center"/>
    </xf>
    <xf numFmtId="0" fontId="4" fillId="5" borderId="108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16" borderId="108" xfId="0" applyFont="1" applyFill="1" applyBorder="1" applyAlignment="1">
      <alignment horizontal="center" vertical="center"/>
    </xf>
    <xf numFmtId="0" fontId="4" fillId="16" borderId="41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2" fillId="21" borderId="126" xfId="0" applyFont="1" applyFill="1" applyBorder="1" applyAlignment="1">
      <alignment horizontal="center" vertical="center"/>
    </xf>
    <xf numFmtId="0" fontId="2" fillId="21" borderId="127" xfId="0" applyFont="1" applyFill="1" applyBorder="1" applyAlignment="1">
      <alignment horizontal="center" vertical="center"/>
    </xf>
    <xf numFmtId="0" fontId="2" fillId="21" borderId="123" xfId="0" applyFont="1" applyFill="1" applyBorder="1" applyAlignment="1">
      <alignment horizontal="center" vertical="center"/>
    </xf>
    <xf numFmtId="0" fontId="2" fillId="21" borderId="124" xfId="0" applyFont="1" applyFill="1" applyBorder="1" applyAlignment="1">
      <alignment horizontal="center" vertical="center"/>
    </xf>
    <xf numFmtId="0" fontId="2" fillId="21" borderId="125" xfId="0" applyFont="1" applyFill="1" applyBorder="1" applyAlignment="1">
      <alignment horizontal="center" vertical="center"/>
    </xf>
    <xf numFmtId="0" fontId="2" fillId="21" borderId="133" xfId="0" applyFont="1" applyFill="1" applyBorder="1" applyAlignment="1">
      <alignment horizontal="center" vertical="center"/>
    </xf>
    <xf numFmtId="0" fontId="2" fillId="21" borderId="134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35" xfId="0" applyFont="1" applyFill="1" applyBorder="1" applyAlignment="1">
      <alignment horizontal="center" vertical="center"/>
    </xf>
    <xf numFmtId="0" fontId="2" fillId="21" borderId="123" xfId="0" applyFont="1" applyFill="1" applyBorder="1" applyAlignment="1">
      <alignment horizontal="center"/>
    </xf>
    <xf numFmtId="0" fontId="2" fillId="21" borderId="124" xfId="0" applyFont="1" applyFill="1" applyBorder="1" applyAlignment="1">
      <alignment horizontal="center"/>
    </xf>
    <xf numFmtId="0" fontId="2" fillId="21" borderId="125" xfId="0" applyFont="1" applyFill="1" applyBorder="1" applyAlignment="1">
      <alignment horizontal="center"/>
    </xf>
    <xf numFmtId="0" fontId="15" fillId="21" borderId="108" xfId="0" applyFont="1" applyFill="1" applyBorder="1" applyAlignment="1">
      <alignment horizontal="center" vertical="center" wrapText="1"/>
    </xf>
    <xf numFmtId="0" fontId="15" fillId="21" borderId="76" xfId="0" applyFont="1" applyFill="1" applyBorder="1" applyAlignment="1">
      <alignment horizontal="center" vertical="center" wrapText="1"/>
    </xf>
    <xf numFmtId="0" fontId="15" fillId="21" borderId="41" xfId="0" applyFont="1" applyFill="1" applyBorder="1" applyAlignment="1">
      <alignment horizontal="center" vertical="center" wrapText="1"/>
    </xf>
    <xf numFmtId="0" fontId="15" fillId="21" borderId="3" xfId="0" applyFont="1" applyFill="1" applyBorder="1" applyAlignment="1">
      <alignment horizontal="center" vertical="center" wrapText="1"/>
    </xf>
    <xf numFmtId="0" fontId="15" fillId="21" borderId="0" xfId="0" applyFont="1" applyFill="1" applyAlignment="1">
      <alignment horizontal="center" vertical="center" wrapText="1"/>
    </xf>
    <xf numFmtId="0" fontId="15" fillId="21" borderId="6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128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3" fillId="4" borderId="129" xfId="0" applyFont="1" applyFill="1" applyBorder="1" applyAlignment="1">
      <alignment horizontal="center"/>
    </xf>
    <xf numFmtId="0" fontId="3" fillId="4" borderId="91" xfId="0" applyFont="1" applyFill="1" applyBorder="1" applyAlignment="1">
      <alignment horizontal="center"/>
    </xf>
    <xf numFmtId="1" fontId="8" fillId="14" borderId="13" xfId="0" applyNumberFormat="1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1" fontId="8" fillId="8" borderId="6" xfId="0" applyNumberFormat="1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1" fontId="8" fillId="14" borderId="44" xfId="0" applyNumberFormat="1" applyFont="1" applyFill="1" applyBorder="1" applyAlignment="1">
      <alignment horizontal="center" vertical="center"/>
    </xf>
    <xf numFmtId="0" fontId="8" fillId="14" borderId="44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4" borderId="64" xfId="0" applyFont="1" applyFill="1" applyBorder="1" applyAlignment="1">
      <alignment horizontal="center" vertical="center"/>
    </xf>
    <xf numFmtId="0" fontId="8" fillId="14" borderId="65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6" borderId="64" xfId="0" applyFont="1" applyFill="1" applyBorder="1" applyAlignment="1" applyProtection="1">
      <alignment horizontal="center" vertical="center"/>
      <protection locked="0"/>
    </xf>
    <xf numFmtId="0" fontId="8" fillId="6" borderId="65" xfId="0" applyFont="1" applyFill="1" applyBorder="1" applyAlignment="1" applyProtection="1">
      <alignment horizontal="center" vertical="center"/>
      <protection locked="0"/>
    </xf>
    <xf numFmtId="0" fontId="2" fillId="21" borderId="136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3" borderId="69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8" fillId="3" borderId="113" xfId="0" applyFont="1" applyFill="1" applyBorder="1" applyAlignment="1">
      <alignment horizontal="center" vertical="center"/>
    </xf>
    <xf numFmtId="0" fontId="8" fillId="3" borderId="98" xfId="0" applyFont="1" applyFill="1" applyBorder="1" applyAlignment="1">
      <alignment horizontal="center" vertical="center"/>
    </xf>
    <xf numFmtId="0" fontId="8" fillId="3" borderId="104" xfId="0" applyFont="1" applyFill="1" applyBorder="1" applyAlignment="1">
      <alignment horizontal="center" vertical="center"/>
    </xf>
    <xf numFmtId="0" fontId="8" fillId="8" borderId="107" xfId="0" applyFont="1" applyFill="1" applyBorder="1" applyAlignment="1">
      <alignment horizontal="center" vertical="center"/>
    </xf>
    <xf numFmtId="0" fontId="8" fillId="8" borderId="121" xfId="0" applyFont="1" applyFill="1" applyBorder="1" applyAlignment="1">
      <alignment horizontal="center" vertical="center"/>
    </xf>
    <xf numFmtId="0" fontId="8" fillId="8" borderId="122" xfId="0" applyFont="1" applyFill="1" applyBorder="1" applyAlignment="1">
      <alignment horizontal="center" vertical="center"/>
    </xf>
    <xf numFmtId="0" fontId="8" fillId="15" borderId="64" xfId="0" applyFont="1" applyFill="1" applyBorder="1" applyAlignment="1">
      <alignment horizontal="center" vertical="center"/>
    </xf>
    <xf numFmtId="0" fontId="8" fillId="15" borderId="6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71" xfId="0" applyFill="1" applyBorder="1" applyAlignment="1">
      <alignment horizontal="center"/>
    </xf>
    <xf numFmtId="0" fontId="2" fillId="22" borderId="32" xfId="0" applyFont="1" applyFill="1" applyBorder="1" applyAlignment="1">
      <alignment horizontal="center" vertical="center"/>
    </xf>
    <xf numFmtId="0" fontId="2" fillId="22" borderId="49" xfId="0" applyFont="1" applyFill="1" applyBorder="1" applyAlignment="1">
      <alignment horizontal="center" vertical="center"/>
    </xf>
    <xf numFmtId="0" fontId="2" fillId="22" borderId="86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9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" fillId="21" borderId="116" xfId="0" applyFont="1" applyFill="1" applyBorder="1" applyAlignment="1">
      <alignment horizontal="center"/>
    </xf>
    <xf numFmtId="0" fontId="2" fillId="21" borderId="99" xfId="0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2" fillId="21" borderId="32" xfId="0" applyFont="1" applyFill="1" applyBorder="1" applyAlignment="1">
      <alignment horizontal="center" vertical="center"/>
    </xf>
    <xf numFmtId="0" fontId="2" fillId="21" borderId="86" xfId="0" applyFont="1" applyFill="1" applyBorder="1" applyAlignment="1">
      <alignment horizontal="center" vertical="center"/>
    </xf>
    <xf numFmtId="0" fontId="2" fillId="8" borderId="137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1" fontId="7" fillId="8" borderId="107" xfId="0" applyNumberFormat="1" applyFont="1" applyFill="1" applyBorder="1" applyAlignment="1">
      <alignment horizontal="center" vertical="center"/>
    </xf>
    <xf numFmtId="0" fontId="7" fillId="8" borderId="121" xfId="0" applyFont="1" applyFill="1" applyBorder="1" applyAlignment="1">
      <alignment horizontal="center" vertical="center"/>
    </xf>
    <xf numFmtId="0" fontId="7" fillId="8" borderId="122" xfId="0" applyFont="1" applyFill="1" applyBorder="1" applyAlignment="1">
      <alignment horizontal="center" vertical="center"/>
    </xf>
    <xf numFmtId="0" fontId="7" fillId="3" borderId="113" xfId="0" applyFont="1" applyFill="1" applyBorder="1" applyAlignment="1">
      <alignment horizontal="center" vertical="center"/>
    </xf>
    <xf numFmtId="0" fontId="7" fillId="3" borderId="98" xfId="0" applyFont="1" applyFill="1" applyBorder="1" applyAlignment="1">
      <alignment horizontal="center" vertical="center"/>
    </xf>
    <xf numFmtId="0" fontId="7" fillId="3" borderId="104" xfId="0" applyFont="1" applyFill="1" applyBorder="1" applyAlignment="1">
      <alignment horizontal="center" vertical="center"/>
    </xf>
    <xf numFmtId="0" fontId="3" fillId="6" borderId="160" xfId="0" applyFont="1" applyFill="1" applyBorder="1" applyAlignment="1" applyProtection="1">
      <alignment horizontal="center"/>
      <protection locked="0"/>
    </xf>
    <xf numFmtId="0" fontId="13" fillId="24" borderId="158" xfId="0" applyFont="1" applyFill="1" applyBorder="1" applyAlignment="1">
      <alignment horizontal="center"/>
    </xf>
    <xf numFmtId="0" fontId="13" fillId="24" borderId="159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3" fillId="19" borderId="184" xfId="0" applyFont="1" applyFill="1" applyBorder="1" applyAlignment="1">
      <alignment horizontal="center" vertical="center" wrapText="1"/>
    </xf>
    <xf numFmtId="0" fontId="3" fillId="19" borderId="185" xfId="0" applyFont="1" applyFill="1" applyBorder="1" applyAlignment="1">
      <alignment horizontal="center" vertical="center" wrapText="1"/>
    </xf>
    <xf numFmtId="0" fontId="3" fillId="19" borderId="18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4" xfId="0" applyFont="1" applyBorder="1"/>
    <xf numFmtId="0" fontId="3" fillId="26" borderId="16" xfId="0" applyFont="1" applyFill="1" applyBorder="1" applyAlignment="1">
      <alignment horizontal="center" vertical="center"/>
    </xf>
    <xf numFmtId="0" fontId="3" fillId="26" borderId="55" xfId="0" applyFont="1" applyFill="1" applyBorder="1" applyAlignment="1">
      <alignment vertical="center"/>
    </xf>
    <xf numFmtId="0" fontId="3" fillId="26" borderId="51" xfId="0" applyFont="1" applyFill="1" applyBorder="1" applyAlignment="1">
      <alignment horizontal="center"/>
    </xf>
    <xf numFmtId="0" fontId="3" fillId="26" borderId="51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70" xfId="0" applyFont="1" applyFill="1" applyBorder="1" applyAlignment="1">
      <alignment vertical="center"/>
    </xf>
    <xf numFmtId="0" fontId="3" fillId="18" borderId="63" xfId="0" applyFont="1" applyFill="1" applyBorder="1" applyAlignment="1">
      <alignment horizontal="center"/>
    </xf>
    <xf numFmtId="0" fontId="3" fillId="18" borderId="63" xfId="0" applyFont="1" applyFill="1" applyBorder="1" applyAlignment="1">
      <alignment horizontal="center" vertical="center"/>
    </xf>
    <xf numFmtId="0" fontId="3" fillId="27" borderId="13" xfId="0" applyFont="1" applyFill="1" applyBorder="1" applyAlignment="1">
      <alignment horizontal="center" vertical="center"/>
    </xf>
    <xf numFmtId="0" fontId="3" fillId="26" borderId="18" xfId="0" applyFont="1" applyFill="1" applyBorder="1" applyAlignment="1">
      <alignment horizontal="center" vertical="center"/>
    </xf>
    <xf numFmtId="0" fontId="3" fillId="26" borderId="165" xfId="0" applyFont="1" applyFill="1" applyBorder="1" applyAlignment="1">
      <alignment vertical="center"/>
    </xf>
    <xf numFmtId="0" fontId="3" fillId="26" borderId="62" xfId="0" applyFont="1" applyFill="1" applyBorder="1" applyAlignment="1">
      <alignment horizontal="center"/>
    </xf>
    <xf numFmtId="0" fontId="3" fillId="26" borderId="62" xfId="0" applyFont="1" applyFill="1" applyBorder="1" applyAlignment="1">
      <alignment horizontal="center" vertical="center"/>
    </xf>
    <xf numFmtId="0" fontId="3" fillId="18" borderId="38" xfId="0" applyFont="1" applyFill="1" applyBorder="1" applyAlignment="1">
      <alignment horizontal="center" vertical="center"/>
    </xf>
    <xf numFmtId="0" fontId="3" fillId="18" borderId="78" xfId="0" applyFont="1" applyFill="1" applyBorder="1" applyAlignment="1">
      <alignment vertical="center"/>
    </xf>
    <xf numFmtId="0" fontId="3" fillId="18" borderId="57" xfId="0" applyFont="1" applyFill="1" applyBorder="1" applyAlignment="1">
      <alignment horizontal="center"/>
    </xf>
    <xf numFmtId="0" fontId="3" fillId="28" borderId="57" xfId="0" applyFont="1" applyFill="1" applyBorder="1" applyAlignment="1">
      <alignment horizontal="center"/>
    </xf>
    <xf numFmtId="0" fontId="3" fillId="27" borderId="161" xfId="0" applyFont="1" applyFill="1" applyBorder="1" applyAlignment="1">
      <alignment horizontal="center" vertical="center"/>
    </xf>
    <xf numFmtId="0" fontId="3" fillId="27" borderId="164" xfId="0" applyFont="1" applyFill="1" applyBorder="1" applyAlignment="1">
      <alignment horizontal="center" vertical="center"/>
    </xf>
    <xf numFmtId="0" fontId="3" fillId="26" borderId="38" xfId="0" applyFont="1" applyFill="1" applyBorder="1" applyAlignment="1">
      <alignment horizontal="center" vertical="center"/>
    </xf>
    <xf numFmtId="0" fontId="3" fillId="26" borderId="78" xfId="0" applyFont="1" applyFill="1" applyBorder="1" applyAlignment="1">
      <alignment vertical="center"/>
    </xf>
    <xf numFmtId="0" fontId="3" fillId="26" borderId="57" xfId="0" applyFont="1" applyFill="1" applyBorder="1" applyAlignment="1">
      <alignment horizontal="center"/>
    </xf>
    <xf numFmtId="0" fontId="3" fillId="27" borderId="57" xfId="0" applyFont="1" applyFill="1" applyBorder="1" applyAlignment="1">
      <alignment horizontal="center"/>
    </xf>
    <xf numFmtId="0" fontId="3" fillId="18" borderId="16" xfId="0" applyFont="1" applyFill="1" applyBorder="1" applyAlignment="1">
      <alignment horizontal="center" vertical="center"/>
    </xf>
    <xf numFmtId="0" fontId="3" fillId="18" borderId="55" xfId="0" applyFont="1" applyFill="1" applyBorder="1" applyAlignment="1">
      <alignment vertical="center"/>
    </xf>
    <xf numFmtId="0" fontId="3" fillId="18" borderId="51" xfId="0" applyFont="1" applyFill="1" applyBorder="1" applyAlignment="1">
      <alignment horizontal="center"/>
    </xf>
    <xf numFmtId="0" fontId="3" fillId="18" borderId="51" xfId="0" applyFont="1" applyFill="1" applyBorder="1" applyAlignment="1">
      <alignment horizontal="center" vertical="center"/>
    </xf>
    <xf numFmtId="0" fontId="3" fillId="26" borderId="10" xfId="0" applyFont="1" applyFill="1" applyBorder="1" applyAlignment="1">
      <alignment horizontal="center" vertical="center"/>
    </xf>
    <xf numFmtId="0" fontId="3" fillId="26" borderId="70" xfId="0" applyFont="1" applyFill="1" applyBorder="1" applyAlignment="1">
      <alignment vertical="center"/>
    </xf>
    <xf numFmtId="0" fontId="3" fillId="26" borderId="63" xfId="0" applyFont="1" applyFill="1" applyBorder="1" applyAlignment="1">
      <alignment horizontal="center"/>
    </xf>
    <xf numFmtId="0" fontId="3" fillId="26" borderId="63" xfId="0" applyFont="1" applyFill="1" applyBorder="1" applyAlignment="1">
      <alignment horizontal="center" vertical="center"/>
    </xf>
    <xf numFmtId="0" fontId="3" fillId="26" borderId="30" xfId="0" applyFont="1" applyFill="1" applyBorder="1" applyAlignment="1">
      <alignment horizontal="center" vertical="center"/>
    </xf>
    <xf numFmtId="0" fontId="3" fillId="26" borderId="189" xfId="0" applyFont="1" applyFill="1" applyBorder="1" applyAlignment="1">
      <alignment vertical="center"/>
    </xf>
    <xf numFmtId="0" fontId="3" fillId="26" borderId="66" xfId="0" applyFont="1" applyFill="1" applyBorder="1" applyAlignment="1">
      <alignment horizontal="center"/>
    </xf>
    <xf numFmtId="0" fontId="3" fillId="27" borderId="66" xfId="0" applyFont="1" applyFill="1" applyBorder="1" applyAlignment="1">
      <alignment horizontal="center"/>
    </xf>
    <xf numFmtId="0" fontId="3" fillId="26" borderId="190" xfId="0" applyFont="1" applyFill="1" applyBorder="1" applyAlignment="1">
      <alignment horizontal="center"/>
    </xf>
    <xf numFmtId="0" fontId="3" fillId="0" borderId="49" xfId="0" applyFont="1" applyBorder="1"/>
    <xf numFmtId="0" fontId="3" fillId="18" borderId="163" xfId="0" applyFont="1" applyFill="1" applyBorder="1" applyAlignment="1">
      <alignment horizontal="center" vertical="center"/>
    </xf>
    <xf numFmtId="0" fontId="3" fillId="26" borderId="6" xfId="0" applyFont="1" applyFill="1" applyBorder="1" applyAlignment="1">
      <alignment horizontal="center" vertical="center"/>
    </xf>
    <xf numFmtId="0" fontId="3" fillId="26" borderId="71" xfId="0" applyFont="1" applyFill="1" applyBorder="1" applyAlignment="1">
      <alignment horizontal="center" vertical="center"/>
    </xf>
    <xf numFmtId="0" fontId="3" fillId="18" borderId="162" xfId="0" applyFont="1" applyFill="1" applyBorder="1" applyAlignment="1">
      <alignment horizontal="center"/>
    </xf>
    <xf numFmtId="0" fontId="3" fillId="26" borderId="36" xfId="0" applyFont="1" applyFill="1" applyBorder="1" applyAlignment="1">
      <alignment horizontal="center" vertical="center"/>
    </xf>
    <xf numFmtId="0" fontId="3" fillId="26" borderId="164" xfId="0" applyFont="1" applyFill="1" applyBorder="1" applyAlignment="1">
      <alignment horizontal="center" vertical="center"/>
    </xf>
    <xf numFmtId="0" fontId="3" fillId="26" borderId="13" xfId="0" applyFont="1" applyFill="1" applyBorder="1" applyAlignment="1">
      <alignment horizontal="center" vertical="center"/>
    </xf>
    <xf numFmtId="0" fontId="3" fillId="27" borderId="63" xfId="0" applyFont="1" applyFill="1" applyBorder="1" applyAlignment="1">
      <alignment horizontal="center"/>
    </xf>
    <xf numFmtId="0" fontId="3" fillId="18" borderId="161" xfId="0" applyFont="1" applyFill="1" applyBorder="1" applyAlignment="1">
      <alignment horizontal="center" vertical="center"/>
    </xf>
    <xf numFmtId="0" fontId="3" fillId="18" borderId="35" xfId="0" applyFont="1" applyFill="1" applyBorder="1" applyAlignment="1">
      <alignment vertical="center"/>
    </xf>
    <xf numFmtId="0" fontId="3" fillId="18" borderId="52" xfId="0" applyFont="1" applyFill="1" applyBorder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" fillId="26" borderId="161" xfId="0" applyFont="1" applyFill="1" applyBorder="1" applyAlignment="1">
      <alignment horizontal="center" vertical="center"/>
    </xf>
    <xf numFmtId="0" fontId="3" fillId="26" borderId="82" xfId="0" applyFont="1" applyFill="1" applyBorder="1" applyAlignment="1">
      <alignment horizontal="center" vertical="center"/>
    </xf>
    <xf numFmtId="0" fontId="3" fillId="26" borderId="17" xfId="0" applyFont="1" applyFill="1" applyBorder="1" applyAlignment="1">
      <alignment horizontal="center" vertical="center"/>
    </xf>
    <xf numFmtId="0" fontId="3" fillId="18" borderId="71" xfId="0" applyFont="1" applyFill="1" applyBorder="1" applyAlignment="1">
      <alignment horizontal="center" vertical="center"/>
    </xf>
    <xf numFmtId="0" fontId="3" fillId="26" borderId="162" xfId="0" applyFont="1" applyFill="1" applyBorder="1" applyAlignment="1">
      <alignment horizontal="center"/>
    </xf>
    <xf numFmtId="0" fontId="3" fillId="26" borderId="163" xfId="0" applyFont="1" applyFill="1" applyBorder="1" applyAlignment="1">
      <alignment horizontal="center" vertical="center"/>
    </xf>
    <xf numFmtId="0" fontId="3" fillId="26" borderId="183" xfId="0" applyFont="1" applyFill="1" applyBorder="1" applyAlignment="1">
      <alignment horizontal="center" vertical="center"/>
    </xf>
    <xf numFmtId="0" fontId="3" fillId="18" borderId="30" xfId="0" applyFont="1" applyFill="1" applyBorder="1" applyAlignment="1">
      <alignment horizontal="center" vertical="center"/>
    </xf>
    <xf numFmtId="0" fontId="3" fillId="18" borderId="189" xfId="0" applyFont="1" applyFill="1" applyBorder="1" applyAlignment="1">
      <alignment vertical="center"/>
    </xf>
    <xf numFmtId="0" fontId="3" fillId="18" borderId="66" xfId="0" applyFont="1" applyFill="1" applyBorder="1" applyAlignment="1">
      <alignment horizontal="center"/>
    </xf>
    <xf numFmtId="0" fontId="3" fillId="28" borderId="66" xfId="0" applyFont="1" applyFill="1" applyBorder="1" applyAlignment="1">
      <alignment horizontal="center"/>
    </xf>
    <xf numFmtId="0" fontId="3" fillId="18" borderId="190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22" borderId="47" xfId="0" applyFont="1" applyFill="1" applyBorder="1" applyAlignment="1">
      <alignment horizontal="center"/>
    </xf>
    <xf numFmtId="0" fontId="2" fillId="22" borderId="48" xfId="0" applyFont="1" applyFill="1" applyBorder="1" applyAlignment="1">
      <alignment horizontal="center"/>
    </xf>
    <xf numFmtId="0" fontId="2" fillId="22" borderId="49" xfId="0" applyFont="1" applyFill="1" applyBorder="1" applyAlignment="1">
      <alignment horizontal="center"/>
    </xf>
    <xf numFmtId="0" fontId="2" fillId="22" borderId="50" xfId="0" applyFont="1" applyFill="1" applyBorder="1" applyAlignment="1">
      <alignment horizontal="center"/>
    </xf>
    <xf numFmtId="0" fontId="2" fillId="22" borderId="86" xfId="0" applyFont="1" applyFill="1" applyBorder="1" applyAlignment="1">
      <alignment horizontal="center"/>
    </xf>
    <xf numFmtId="0" fontId="2" fillId="0" borderId="49" xfId="0" applyFont="1" applyBorder="1"/>
    <xf numFmtId="0" fontId="17" fillId="22" borderId="18" xfId="0" applyFont="1" applyFill="1" applyBorder="1" applyAlignment="1">
      <alignment horizontal="left" vertical="top"/>
    </xf>
    <xf numFmtId="0" fontId="17" fillId="22" borderId="13" xfId="0" applyFont="1" applyFill="1" applyBorder="1" applyAlignment="1">
      <alignment horizontal="left" vertical="top"/>
    </xf>
    <xf numFmtId="0" fontId="17" fillId="22" borderId="16" xfId="0" applyFont="1" applyFill="1" applyBorder="1" applyAlignment="1">
      <alignment horizontal="left" vertical="top"/>
    </xf>
    <xf numFmtId="0" fontId="18" fillId="22" borderId="18" xfId="0" applyFont="1" applyFill="1" applyBorder="1" applyAlignment="1">
      <alignment horizontal="left" vertical="top"/>
    </xf>
    <xf numFmtId="0" fontId="18" fillId="22" borderId="13" xfId="0" applyFont="1" applyFill="1" applyBorder="1" applyAlignment="1">
      <alignment horizontal="left" vertical="top"/>
    </xf>
    <xf numFmtId="0" fontId="18" fillId="22" borderId="16" xfId="0" applyFont="1" applyFill="1" applyBorder="1" applyAlignment="1">
      <alignment horizontal="left" vertical="top"/>
    </xf>
    <xf numFmtId="0" fontId="17" fillId="22" borderId="164" xfId="0" applyFont="1" applyFill="1" applyBorder="1" applyAlignment="1">
      <alignment horizontal="left" vertical="top" wrapText="1"/>
    </xf>
    <xf numFmtId="0" fontId="17" fillId="22" borderId="13" xfId="0" applyFont="1" applyFill="1" applyBorder="1" applyAlignment="1">
      <alignment horizontal="left" vertical="top" wrapText="1"/>
    </xf>
    <xf numFmtId="0" fontId="17" fillId="22" borderId="16" xfId="0" applyFont="1" applyFill="1" applyBorder="1" applyAlignment="1">
      <alignment horizontal="left" vertical="top" wrapText="1"/>
    </xf>
    <xf numFmtId="0" fontId="18" fillId="22" borderId="164" xfId="0" applyFont="1" applyFill="1" applyBorder="1" applyAlignment="1">
      <alignment horizontal="left" vertical="top" wrapText="1"/>
    </xf>
    <xf numFmtId="0" fontId="18" fillId="22" borderId="13" xfId="0" applyFont="1" applyFill="1" applyBorder="1" applyAlignment="1">
      <alignment horizontal="left" vertical="top" wrapText="1"/>
    </xf>
    <xf numFmtId="0" fontId="18" fillId="22" borderId="16" xfId="0" applyFont="1" applyFill="1" applyBorder="1" applyAlignment="1">
      <alignment horizontal="left" vertical="top" wrapText="1"/>
    </xf>
    <xf numFmtId="0" fontId="17" fillId="22" borderId="28" xfId="0" applyFont="1" applyFill="1" applyBorder="1" applyAlignment="1">
      <alignment horizontal="left" vertical="top"/>
    </xf>
    <xf numFmtId="0" fontId="18" fillId="22" borderId="28" xfId="0" applyFont="1" applyFill="1" applyBorder="1" applyAlignment="1">
      <alignment horizontal="left" vertical="top"/>
    </xf>
    <xf numFmtId="0" fontId="17" fillId="22" borderId="5" xfId="0" applyFont="1" applyFill="1" applyBorder="1" applyAlignment="1">
      <alignment horizontal="left" vertical="top"/>
    </xf>
    <xf numFmtId="0" fontId="18" fillId="22" borderId="5" xfId="0" applyFont="1" applyFill="1" applyBorder="1" applyAlignment="1">
      <alignment horizontal="left" vertical="top"/>
    </xf>
    <xf numFmtId="0" fontId="3" fillId="0" borderId="0" xfId="0" applyFont="1"/>
    <xf numFmtId="0" fontId="3" fillId="26" borderId="187" xfId="0" applyFont="1" applyFill="1" applyBorder="1" applyAlignment="1">
      <alignment horizontal="center" vertical="center"/>
    </xf>
    <xf numFmtId="0" fontId="3" fillId="18" borderId="166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8" borderId="54" xfId="0" applyFont="1" applyFill="1" applyBorder="1" applyAlignment="1">
      <alignment vertical="center"/>
    </xf>
    <xf numFmtId="0" fontId="3" fillId="18" borderId="55" xfId="0" applyFont="1" applyFill="1" applyBorder="1" applyAlignment="1">
      <alignment horizontal="center"/>
    </xf>
    <xf numFmtId="0" fontId="3" fillId="28" borderId="51" xfId="0" applyFont="1" applyFill="1" applyBorder="1" applyAlignment="1">
      <alignment horizontal="center"/>
    </xf>
    <xf numFmtId="0" fontId="3" fillId="18" borderId="82" xfId="0" applyFont="1" applyFill="1" applyBorder="1" applyAlignment="1">
      <alignment horizontal="center"/>
    </xf>
    <xf numFmtId="0" fontId="3" fillId="21" borderId="10" xfId="0" applyFont="1" applyFill="1" applyBorder="1"/>
    <xf numFmtId="0" fontId="3" fillId="26" borderId="24" xfId="0" applyFont="1" applyFill="1" applyBorder="1" applyAlignment="1">
      <alignment vertical="center"/>
    </xf>
    <xf numFmtId="0" fontId="3" fillId="26" borderId="70" xfId="0" applyFont="1" applyFill="1" applyBorder="1" applyAlignment="1">
      <alignment horizontal="center"/>
    </xf>
    <xf numFmtId="0" fontId="3" fillId="26" borderId="71" xfId="0" applyFont="1" applyFill="1" applyBorder="1" applyAlignment="1">
      <alignment horizontal="center"/>
    </xf>
    <xf numFmtId="0" fontId="3" fillId="18" borderId="25" xfId="0" applyFont="1" applyFill="1" applyBorder="1" applyAlignment="1">
      <alignment vertical="center"/>
    </xf>
    <xf numFmtId="0" fontId="3" fillId="18" borderId="65" xfId="0" applyFont="1" applyFill="1" applyBorder="1" applyAlignment="1">
      <alignment horizontal="center"/>
    </xf>
    <xf numFmtId="0" fontId="3" fillId="18" borderId="60" xfId="0" applyFont="1" applyFill="1" applyBorder="1" applyAlignment="1">
      <alignment horizontal="center"/>
    </xf>
    <xf numFmtId="0" fontId="3" fillId="28" borderId="65" xfId="0" applyFont="1" applyFill="1" applyBorder="1" applyAlignment="1">
      <alignment horizontal="center"/>
    </xf>
    <xf numFmtId="0" fontId="3" fillId="18" borderId="72" xfId="0" applyFont="1" applyFill="1" applyBorder="1" applyAlignment="1">
      <alignment horizontal="center"/>
    </xf>
    <xf numFmtId="166" fontId="3" fillId="18" borderId="63" xfId="0" applyNumberFormat="1" applyFont="1" applyFill="1" applyBorder="1" applyAlignment="1">
      <alignment horizontal="center"/>
    </xf>
    <xf numFmtId="0" fontId="3" fillId="18" borderId="54" xfId="0" applyFont="1" applyFill="1" applyBorder="1" applyAlignment="1">
      <alignment horizontal="center" vertical="center"/>
    </xf>
    <xf numFmtId="0" fontId="3" fillId="18" borderId="55" xfId="0" applyFont="1" applyFill="1" applyBorder="1" applyAlignment="1">
      <alignment horizontal="center" vertical="center"/>
    </xf>
    <xf numFmtId="0" fontId="3" fillId="28" borderId="51" xfId="0" applyFont="1" applyFill="1" applyBorder="1" applyAlignment="1">
      <alignment horizontal="center" vertical="center"/>
    </xf>
    <xf numFmtId="0" fontId="3" fillId="18" borderId="82" xfId="0" applyFont="1" applyFill="1" applyBorder="1" applyAlignment="1">
      <alignment horizontal="center" vertical="center"/>
    </xf>
    <xf numFmtId="0" fontId="3" fillId="26" borderId="24" xfId="0" applyFont="1" applyFill="1" applyBorder="1" applyAlignment="1">
      <alignment horizontal="center" vertical="center"/>
    </xf>
    <xf numFmtId="0" fontId="3" fillId="26" borderId="70" xfId="0" applyFont="1" applyFill="1" applyBorder="1" applyAlignment="1">
      <alignment horizontal="center" vertical="center"/>
    </xf>
    <xf numFmtId="0" fontId="3" fillId="27" borderId="63" xfId="0" applyFont="1" applyFill="1" applyBorder="1" applyAlignment="1">
      <alignment horizontal="center" vertical="center"/>
    </xf>
    <xf numFmtId="0" fontId="3" fillId="18" borderId="25" xfId="0" applyFont="1" applyFill="1" applyBorder="1" applyAlignment="1">
      <alignment horizontal="center" vertical="center"/>
    </xf>
    <xf numFmtId="0" fontId="3" fillId="18" borderId="65" xfId="0" applyFont="1" applyFill="1" applyBorder="1" applyAlignment="1">
      <alignment horizontal="center" vertical="center"/>
    </xf>
    <xf numFmtId="0" fontId="3" fillId="18" borderId="60" xfId="0" applyFont="1" applyFill="1" applyBorder="1" applyAlignment="1">
      <alignment horizontal="center" vertical="center"/>
    </xf>
    <xf numFmtId="0" fontId="3" fillId="28" borderId="65" xfId="0" applyFont="1" applyFill="1" applyBorder="1" applyAlignment="1">
      <alignment horizontal="center" vertical="center"/>
    </xf>
    <xf numFmtId="0" fontId="3" fillId="18" borderId="72" xfId="0" applyFont="1" applyFill="1" applyBorder="1" applyAlignment="1">
      <alignment horizontal="center" vertical="center"/>
    </xf>
    <xf numFmtId="49" fontId="3" fillId="18" borderId="63" xfId="0" applyNumberFormat="1" applyFont="1" applyFill="1" applyBorder="1" applyAlignment="1">
      <alignment horizontal="center"/>
    </xf>
    <xf numFmtId="0" fontId="2" fillId="22" borderId="5" xfId="0" applyFont="1" applyFill="1" applyBorder="1" applyAlignment="1">
      <alignment horizontal="left" vertical="top"/>
    </xf>
    <xf numFmtId="0" fontId="2" fillId="22" borderId="13" xfId="0" applyFont="1" applyFill="1" applyBorder="1" applyAlignment="1">
      <alignment horizontal="left" vertical="top"/>
    </xf>
    <xf numFmtId="0" fontId="2" fillId="22" borderId="16" xfId="0" applyFont="1" applyFill="1" applyBorder="1" applyAlignment="1">
      <alignment horizontal="left" vertical="top"/>
    </xf>
    <xf numFmtId="0" fontId="15" fillId="22" borderId="5" xfId="0" applyFont="1" applyFill="1" applyBorder="1" applyAlignment="1">
      <alignment horizontal="left" vertical="top"/>
    </xf>
    <xf numFmtId="0" fontId="15" fillId="22" borderId="13" xfId="0" applyFont="1" applyFill="1" applyBorder="1" applyAlignment="1">
      <alignment horizontal="left" vertical="top"/>
    </xf>
    <xf numFmtId="0" fontId="15" fillId="22" borderId="16" xfId="0" applyFont="1" applyFill="1" applyBorder="1" applyAlignment="1">
      <alignment horizontal="left" vertical="top"/>
    </xf>
    <xf numFmtId="0" fontId="15" fillId="22" borderId="18" xfId="0" applyFont="1" applyFill="1" applyBorder="1" applyAlignment="1">
      <alignment horizontal="left" vertical="top"/>
    </xf>
    <xf numFmtId="0" fontId="15" fillId="22" borderId="28" xfId="0" applyFont="1" applyFill="1" applyBorder="1" applyAlignment="1">
      <alignment horizontal="left" vertical="top"/>
    </xf>
    <xf numFmtId="0" fontId="15" fillId="22" borderId="5" xfId="0" applyFont="1" applyFill="1" applyBorder="1" applyAlignment="1">
      <alignment horizontal="left" vertical="top" wrapText="1"/>
    </xf>
    <xf numFmtId="0" fontId="15" fillId="22" borderId="13" xfId="0" applyFont="1" applyFill="1" applyBorder="1" applyAlignment="1">
      <alignment horizontal="left" vertical="top" wrapText="1"/>
    </xf>
    <xf numFmtId="0" fontId="15" fillId="22" borderId="16" xfId="0" applyFont="1" applyFill="1" applyBorder="1" applyAlignment="1">
      <alignment horizontal="left" vertical="top" wrapText="1"/>
    </xf>
    <xf numFmtId="0" fontId="15" fillId="22" borderId="18" xfId="0" applyFont="1" applyFill="1" applyBorder="1" applyAlignment="1">
      <alignment horizontal="left" vertical="top" wrapText="1"/>
    </xf>
    <xf numFmtId="0" fontId="15" fillId="22" borderId="161" xfId="0" applyFont="1" applyFill="1" applyBorder="1" applyAlignment="1">
      <alignment horizontal="left" vertical="top" wrapText="1"/>
    </xf>
    <xf numFmtId="0" fontId="2" fillId="21" borderId="13" xfId="0" applyFont="1" applyFill="1" applyBorder="1"/>
    <xf numFmtId="0" fontId="2" fillId="21" borderId="10" xfId="0" applyFont="1" applyFill="1" applyBorder="1"/>
    <xf numFmtId="0" fontId="2" fillId="21" borderId="28" xfId="0" applyFont="1" applyFill="1" applyBorder="1"/>
    <xf numFmtId="0" fontId="18" fillId="22" borderId="5" xfId="0" applyFont="1" applyFill="1" applyBorder="1" applyAlignment="1">
      <alignment horizontal="left" vertical="top" wrapText="1"/>
    </xf>
    <xf numFmtId="0" fontId="18" fillId="22" borderId="161" xfId="0" applyFont="1" applyFill="1" applyBorder="1" applyAlignment="1">
      <alignment horizontal="left" vertical="top" wrapText="1"/>
    </xf>
    <xf numFmtId="0" fontId="3" fillId="26" borderId="22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vertical="center"/>
    </xf>
    <xf numFmtId="0" fontId="3" fillId="0" borderId="51" xfId="0" applyFont="1" applyFill="1" applyBorder="1" applyAlignment="1">
      <alignment horizontal="center"/>
    </xf>
    <xf numFmtId="0" fontId="3" fillId="0" borderId="51" xfId="0" applyFont="1" applyFill="1" applyBorder="1" applyAlignment="1">
      <alignment horizontal="center" vertical="center"/>
    </xf>
    <xf numFmtId="0" fontId="3" fillId="25" borderId="164" xfId="0" applyFont="1" applyFill="1" applyBorder="1" applyAlignment="1">
      <alignment horizontal="center" vertical="center"/>
    </xf>
    <xf numFmtId="0" fontId="3" fillId="19" borderId="70" xfId="0" applyFont="1" applyFill="1" applyBorder="1" applyAlignment="1">
      <alignment vertical="center"/>
    </xf>
    <xf numFmtId="0" fontId="3" fillId="19" borderId="63" xfId="0" applyFont="1" applyFill="1" applyBorder="1" applyAlignment="1">
      <alignment horizontal="center"/>
    </xf>
    <xf numFmtId="0" fontId="3" fillId="19" borderId="63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vertical="center"/>
    </xf>
    <xf numFmtId="0" fontId="3" fillId="0" borderId="66" xfId="0" applyFont="1" applyFill="1" applyBorder="1" applyAlignment="1">
      <alignment horizontal="center"/>
    </xf>
    <xf numFmtId="0" fontId="3" fillId="0" borderId="190" xfId="0" applyFont="1" applyFill="1" applyBorder="1" applyAlignment="1">
      <alignment horizontal="center"/>
    </xf>
    <xf numFmtId="0" fontId="3" fillId="25" borderId="28" xfId="0" applyFont="1" applyFill="1" applyBorder="1" applyAlignment="1">
      <alignment horizontal="center" vertical="center"/>
    </xf>
    <xf numFmtId="0" fontId="2" fillId="22" borderId="18" xfId="0" applyFont="1" applyFill="1" applyBorder="1" applyAlignment="1">
      <alignment horizontal="left" vertical="top"/>
    </xf>
    <xf numFmtId="0" fontId="2" fillId="22" borderId="28" xfId="0" applyFont="1" applyFill="1" applyBorder="1" applyAlignment="1">
      <alignment horizontal="left" vertical="top"/>
    </xf>
    <xf numFmtId="0" fontId="3" fillId="18" borderId="141" xfId="0" applyFont="1" applyFill="1" applyBorder="1" applyAlignment="1">
      <alignment horizontal="center" vertical="center"/>
    </xf>
    <xf numFmtId="0" fontId="3" fillId="26" borderId="31" xfId="0" applyFont="1" applyFill="1" applyBorder="1" applyAlignment="1">
      <alignment horizontal="center" vertical="center"/>
    </xf>
    <xf numFmtId="0" fontId="3" fillId="26" borderId="4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26" borderId="188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left" vertical="top"/>
    </xf>
    <xf numFmtId="0" fontId="3" fillId="21" borderId="10" xfId="0" applyFont="1" applyFill="1" applyBorder="1" applyAlignment="1">
      <alignment horizontal="left" vertical="top"/>
    </xf>
    <xf numFmtId="0" fontId="3" fillId="21" borderId="13" xfId="0" applyFont="1" applyFill="1" applyBorder="1" applyAlignment="1">
      <alignment horizontal="left" vertical="top"/>
    </xf>
    <xf numFmtId="0" fontId="3" fillId="21" borderId="18" xfId="0" applyFont="1" applyFill="1" applyBorder="1" applyAlignment="1">
      <alignment vertical="top"/>
    </xf>
    <xf numFmtId="0" fontId="3" fillId="21" borderId="10" xfId="0" applyFont="1" applyFill="1" applyBorder="1" applyAlignment="1">
      <alignment vertical="top"/>
    </xf>
    <xf numFmtId="0" fontId="3" fillId="21" borderId="30" xfId="0" applyFont="1" applyFill="1" applyBorder="1" applyAlignment="1">
      <alignment horizontal="left" vertical="top"/>
    </xf>
    <xf numFmtId="0" fontId="3" fillId="21" borderId="16" xfId="0" applyFont="1" applyFill="1" applyBorder="1" applyAlignment="1">
      <alignment vertical="top" wrapText="1"/>
    </xf>
    <xf numFmtId="0" fontId="3" fillId="21" borderId="140" xfId="0" applyFont="1" applyFill="1" applyBorder="1" applyAlignment="1">
      <alignment vertical="top" wrapText="1"/>
    </xf>
    <xf numFmtId="0" fontId="3" fillId="21" borderId="15" xfId="0" applyFont="1" applyFill="1" applyBorder="1" applyAlignment="1">
      <alignment horizontal="left" vertical="top"/>
    </xf>
    <xf numFmtId="0" fontId="3" fillId="21" borderId="140" xfId="0" applyFont="1" applyFill="1" applyBorder="1" applyAlignment="1">
      <alignment horizontal="left" vertical="top"/>
    </xf>
    <xf numFmtId="0" fontId="3" fillId="21" borderId="15" xfId="0" applyFont="1" applyFill="1" applyBorder="1" applyAlignment="1">
      <alignment vertical="top"/>
    </xf>
    <xf numFmtId="0" fontId="3" fillId="21" borderId="73" xfId="0" applyFont="1" applyFill="1" applyBorder="1" applyAlignment="1">
      <alignment vertical="top"/>
    </xf>
    <xf numFmtId="0" fontId="3" fillId="21" borderId="6" xfId="0" applyFont="1" applyFill="1" applyBorder="1" applyAlignment="1">
      <alignment horizontal="left" vertical="top"/>
    </xf>
    <xf numFmtId="0" fontId="3" fillId="21" borderId="12" xfId="0" applyFont="1" applyFill="1" applyBorder="1"/>
    <xf numFmtId="0" fontId="3" fillId="21" borderId="18" xfId="0" applyFont="1" applyFill="1" applyBorder="1"/>
    <xf numFmtId="0" fontId="3" fillId="21" borderId="30" xfId="0" applyFont="1" applyFill="1" applyBorder="1"/>
    <xf numFmtId="0" fontId="3" fillId="26" borderId="37" xfId="0" applyFont="1" applyFill="1" applyBorder="1" applyAlignment="1">
      <alignment horizontal="center"/>
    </xf>
    <xf numFmtId="0" fontId="3" fillId="26" borderId="58" xfId="0" applyFont="1" applyFill="1" applyBorder="1" applyAlignment="1">
      <alignment horizontal="center"/>
    </xf>
    <xf numFmtId="0" fontId="3" fillId="26" borderId="84" xfId="0" applyFont="1" applyFill="1" applyBorder="1"/>
    <xf numFmtId="49" fontId="3" fillId="26" borderId="6" xfId="0" applyNumberFormat="1" applyFont="1" applyFill="1" applyBorder="1" applyAlignment="1">
      <alignment horizontal="center" vertical="center"/>
    </xf>
    <xf numFmtId="0" fontId="3" fillId="18" borderId="37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18" borderId="85" xfId="0" applyFont="1" applyFill="1" applyBorder="1"/>
    <xf numFmtId="49" fontId="3" fillId="18" borderId="17" xfId="0" applyNumberFormat="1" applyFont="1" applyFill="1" applyBorder="1" applyAlignment="1">
      <alignment horizontal="center" vertical="center"/>
    </xf>
    <xf numFmtId="0" fontId="3" fillId="26" borderId="84" xfId="0" applyFont="1" applyFill="1" applyBorder="1" applyAlignment="1">
      <alignment horizontal="left"/>
    </xf>
    <xf numFmtId="49" fontId="3" fillId="26" borderId="56" xfId="0" applyNumberFormat="1" applyFont="1" applyFill="1" applyBorder="1" applyAlignment="1">
      <alignment horizontal="center" vertical="center"/>
    </xf>
    <xf numFmtId="0" fontId="3" fillId="18" borderId="58" xfId="0" applyFont="1" applyFill="1" applyBorder="1" applyAlignment="1">
      <alignment horizontal="center"/>
    </xf>
    <xf numFmtId="0" fontId="3" fillId="18" borderId="84" xfId="0" applyFont="1" applyFill="1" applyBorder="1" applyAlignment="1">
      <alignment horizontal="left"/>
    </xf>
    <xf numFmtId="49" fontId="3" fillId="18" borderId="6" xfId="0" applyNumberFormat="1" applyFont="1" applyFill="1" applyBorder="1" applyAlignment="1">
      <alignment horizontal="center" vertical="center"/>
    </xf>
    <xf numFmtId="49" fontId="3" fillId="26" borderId="59" xfId="0" applyNumberFormat="1" applyFont="1" applyFill="1" applyBorder="1" applyAlignment="1">
      <alignment horizontal="center" vertical="center"/>
    </xf>
    <xf numFmtId="49" fontId="3" fillId="18" borderId="56" xfId="0" applyNumberFormat="1" applyFont="1" applyFill="1" applyBorder="1" applyAlignment="1">
      <alignment horizontal="center" vertical="center"/>
    </xf>
    <xf numFmtId="49" fontId="3" fillId="26" borderId="22" xfId="0" applyNumberFormat="1" applyFont="1" applyFill="1" applyBorder="1" applyAlignment="1">
      <alignment horizontal="center" vertical="center"/>
    </xf>
    <xf numFmtId="0" fontId="3" fillId="18" borderId="84" xfId="0" applyFont="1" applyFill="1" applyBorder="1"/>
    <xf numFmtId="49" fontId="3" fillId="18" borderId="22" xfId="0" applyNumberFormat="1" applyFont="1" applyFill="1" applyBorder="1" applyAlignment="1">
      <alignment horizontal="center" vertical="center"/>
    </xf>
    <xf numFmtId="9" fontId="3" fillId="26" borderId="37" xfId="0" applyNumberFormat="1" applyFont="1" applyFill="1" applyBorder="1" applyAlignment="1">
      <alignment horizontal="center"/>
    </xf>
    <xf numFmtId="49" fontId="3" fillId="26" borderId="17" xfId="0" applyNumberFormat="1" applyFont="1" applyFill="1" applyBorder="1" applyAlignment="1">
      <alignment horizontal="center" vertical="center"/>
    </xf>
    <xf numFmtId="0" fontId="3" fillId="18" borderId="37" xfId="0" applyFont="1" applyFill="1" applyBorder="1" applyAlignment="1">
      <alignment horizontal="center" vertical="center"/>
    </xf>
    <xf numFmtId="0" fontId="3" fillId="18" borderId="58" xfId="0" applyFont="1" applyFill="1" applyBorder="1"/>
    <xf numFmtId="49" fontId="3" fillId="18" borderId="17" xfId="1" applyNumberFormat="1" applyFont="1" applyFill="1" applyBorder="1" applyAlignment="1" applyProtection="1">
      <alignment horizontal="center" vertical="center"/>
    </xf>
    <xf numFmtId="0" fontId="3" fillId="26" borderId="58" xfId="0" applyFont="1" applyFill="1" applyBorder="1"/>
    <xf numFmtId="49" fontId="3" fillId="26" borderId="17" xfId="1" applyNumberFormat="1" applyFont="1" applyFill="1" applyBorder="1" applyAlignment="1" applyProtection="1">
      <alignment horizontal="center"/>
    </xf>
    <xf numFmtId="0" fontId="3" fillId="18" borderId="25" xfId="0" applyFont="1" applyFill="1" applyBorder="1" applyAlignment="1">
      <alignment horizontal="center"/>
    </xf>
    <xf numFmtId="0" fontId="3" fillId="18" borderId="65" xfId="0" applyFont="1" applyFill="1" applyBorder="1"/>
    <xf numFmtId="49" fontId="3" fillId="18" borderId="4" xfId="1" applyNumberFormat="1" applyFont="1" applyFill="1" applyBorder="1" applyAlignment="1" applyProtection="1">
      <alignment horizontal="center"/>
    </xf>
    <xf numFmtId="0" fontId="2" fillId="22" borderId="50" xfId="0" applyFont="1" applyFill="1" applyBorder="1" applyAlignment="1">
      <alignment horizontal="center" vertical="center"/>
    </xf>
    <xf numFmtId="0" fontId="2" fillId="22" borderId="48" xfId="0" applyFont="1" applyFill="1" applyBorder="1" applyAlignment="1">
      <alignment horizontal="center" vertical="center"/>
    </xf>
    <xf numFmtId="0" fontId="2" fillId="22" borderId="61" xfId="0" applyFont="1" applyFill="1" applyBorder="1" applyAlignment="1">
      <alignment horizontal="center" vertical="center"/>
    </xf>
    <xf numFmtId="0" fontId="2" fillId="22" borderId="10" xfId="0" applyFont="1" applyFill="1" applyBorder="1"/>
    <xf numFmtId="0" fontId="2" fillId="22" borderId="33" xfId="0" applyFont="1" applyFill="1" applyBorder="1" applyAlignment="1">
      <alignment horizontal="center"/>
    </xf>
    <xf numFmtId="0" fontId="3" fillId="29" borderId="58" xfId="0" applyFont="1" applyFill="1" applyBorder="1" applyAlignment="1">
      <alignment horizontal="center"/>
    </xf>
    <xf numFmtId="0" fontId="3" fillId="29" borderId="58" xfId="0" applyFont="1" applyFill="1" applyBorder="1"/>
    <xf numFmtId="0" fontId="3" fillId="29" borderId="65" xfId="0" applyFont="1" applyFill="1" applyBorder="1"/>
    <xf numFmtId="0" fontId="3" fillId="0" borderId="13" xfId="0" applyFont="1" applyBorder="1"/>
    <xf numFmtId="0" fontId="2" fillId="21" borderId="16" xfId="0" applyFont="1" applyFill="1" applyBorder="1"/>
    <xf numFmtId="0" fontId="2" fillId="31" borderId="10" xfId="0" applyFont="1" applyFill="1" applyBorder="1"/>
    <xf numFmtId="0" fontId="2" fillId="21" borderId="12" xfId="0" applyFont="1" applyFill="1" applyBorder="1" applyAlignment="1">
      <alignment horizontal="left" vertical="top"/>
    </xf>
    <xf numFmtId="0" fontId="2" fillId="21" borderId="10" xfId="0" applyFont="1" applyFill="1" applyBorder="1" applyAlignment="1">
      <alignment horizontal="left" vertical="top"/>
    </xf>
    <xf numFmtId="0" fontId="2" fillId="21" borderId="13" xfId="0" applyFont="1" applyFill="1" applyBorder="1" applyAlignment="1">
      <alignment horizontal="left" vertical="top"/>
    </xf>
    <xf numFmtId="0" fontId="2" fillId="21" borderId="18" xfId="0" applyFont="1" applyFill="1" applyBorder="1" applyAlignment="1">
      <alignment vertical="top"/>
    </xf>
    <xf numFmtId="0" fontId="2" fillId="21" borderId="10" xfId="0" applyFont="1" applyFill="1" applyBorder="1" applyAlignment="1">
      <alignment vertical="top"/>
    </xf>
    <xf numFmtId="0" fontId="2" fillId="21" borderId="30" xfId="0" applyFont="1" applyFill="1" applyBorder="1" applyAlignment="1">
      <alignment horizontal="left" vertical="top"/>
    </xf>
    <xf numFmtId="0" fontId="2" fillId="21" borderId="16" xfId="0" applyFont="1" applyFill="1" applyBorder="1" applyAlignment="1">
      <alignment vertical="top" wrapText="1"/>
    </xf>
    <xf numFmtId="0" fontId="2" fillId="21" borderId="140" xfId="0" applyFont="1" applyFill="1" applyBorder="1" applyAlignment="1">
      <alignment vertical="top" wrapText="1"/>
    </xf>
    <xf numFmtId="0" fontId="2" fillId="21" borderId="15" xfId="0" applyFont="1" applyFill="1" applyBorder="1" applyAlignment="1">
      <alignment horizontal="left" vertical="top"/>
    </xf>
    <xf numFmtId="0" fontId="2" fillId="21" borderId="140" xfId="0" applyFont="1" applyFill="1" applyBorder="1" applyAlignment="1">
      <alignment horizontal="left" vertical="top"/>
    </xf>
    <xf numFmtId="0" fontId="2" fillId="21" borderId="15" xfId="0" applyFont="1" applyFill="1" applyBorder="1" applyAlignment="1">
      <alignment vertical="top"/>
    </xf>
    <xf numFmtId="0" fontId="2" fillId="21" borderId="73" xfId="0" applyFont="1" applyFill="1" applyBorder="1" applyAlignment="1">
      <alignment vertical="top"/>
    </xf>
    <xf numFmtId="0" fontId="2" fillId="21" borderId="6" xfId="0" applyFont="1" applyFill="1" applyBorder="1" applyAlignment="1">
      <alignment horizontal="left" vertical="top"/>
    </xf>
    <xf numFmtId="0" fontId="2" fillId="21" borderId="12" xfId="0" applyFont="1" applyFill="1" applyBorder="1"/>
    <xf numFmtId="0" fontId="2" fillId="21" borderId="18" xfId="0" applyFont="1" applyFill="1" applyBorder="1"/>
    <xf numFmtId="0" fontId="2" fillId="21" borderId="30" xfId="0" applyFont="1" applyFill="1" applyBorder="1"/>
    <xf numFmtId="0" fontId="2" fillId="21" borderId="16" xfId="0" applyFont="1" applyFill="1" applyBorder="1" applyAlignment="1">
      <alignment vertical="top"/>
    </xf>
    <xf numFmtId="0" fontId="2" fillId="21" borderId="3" xfId="0" applyFont="1" applyFill="1" applyBorder="1" applyAlignment="1">
      <alignment vertical="top"/>
    </xf>
    <xf numFmtId="0" fontId="2" fillId="31" borderId="18" xfId="0" applyFont="1" applyFill="1" applyBorder="1"/>
    <xf numFmtId="0" fontId="2" fillId="21" borderId="5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12" xfId="0" applyFont="1" applyFill="1" applyBorder="1"/>
    <xf numFmtId="0" fontId="2" fillId="22" borderId="38" xfId="0" applyFont="1" applyFill="1" applyBorder="1"/>
    <xf numFmtId="0" fontId="2" fillId="22" borderId="30" xfId="0" applyFont="1" applyFill="1" applyBorder="1"/>
    <xf numFmtId="49" fontId="13" fillId="26" borderId="34" xfId="0" applyNumberFormat="1" applyFont="1" applyFill="1" applyBorder="1" applyAlignment="1">
      <alignment horizontal="center"/>
    </xf>
    <xf numFmtId="0" fontId="13" fillId="26" borderId="67" xfId="0" applyFont="1" applyFill="1" applyBorder="1" applyAlignment="1">
      <alignment horizontal="center"/>
    </xf>
    <xf numFmtId="0" fontId="13" fillId="30" borderId="67" xfId="0" applyFont="1" applyFill="1" applyBorder="1" applyAlignment="1">
      <alignment horizontal="center"/>
    </xf>
    <xf numFmtId="0" fontId="13" fillId="30" borderId="61" xfId="0" applyFont="1" applyFill="1" applyBorder="1" applyAlignment="1">
      <alignment horizontal="center"/>
    </xf>
    <xf numFmtId="49" fontId="13" fillId="18" borderId="37" xfId="0" applyNumberFormat="1" applyFont="1" applyFill="1" applyBorder="1" applyAlignment="1">
      <alignment horizontal="center"/>
    </xf>
    <xf numFmtId="0" fontId="13" fillId="18" borderId="58" xfId="0" applyFont="1" applyFill="1" applyBorder="1" applyAlignment="1">
      <alignment horizontal="center"/>
    </xf>
    <xf numFmtId="49" fontId="13" fillId="18" borderId="58" xfId="0" applyNumberFormat="1" applyFont="1" applyFill="1" applyBorder="1" applyAlignment="1">
      <alignment horizontal="center"/>
    </xf>
    <xf numFmtId="0" fontId="13" fillId="18" borderId="52" xfId="0" applyFont="1" applyFill="1" applyBorder="1" applyAlignment="1">
      <alignment horizontal="center"/>
    </xf>
    <xf numFmtId="0" fontId="13" fillId="18" borderId="87" xfId="0" applyFont="1" applyFill="1" applyBorder="1" applyAlignment="1">
      <alignment horizontal="center"/>
    </xf>
    <xf numFmtId="49" fontId="13" fillId="26" borderId="37" xfId="0" applyNumberFormat="1" applyFont="1" applyFill="1" applyBorder="1" applyAlignment="1">
      <alignment horizontal="center"/>
    </xf>
    <xf numFmtId="0" fontId="13" fillId="26" borderId="58" xfId="0" applyFont="1" applyFill="1" applyBorder="1" applyAlignment="1">
      <alignment horizontal="center"/>
    </xf>
    <xf numFmtId="49" fontId="13" fillId="26" borderId="58" xfId="0" applyNumberFormat="1" applyFont="1" applyFill="1" applyBorder="1" applyAlignment="1">
      <alignment horizontal="center"/>
    </xf>
    <xf numFmtId="0" fontId="13" fillId="26" borderId="87" xfId="0" applyFont="1" applyFill="1" applyBorder="1" applyAlignment="1">
      <alignment horizontal="center"/>
    </xf>
    <xf numFmtId="0" fontId="13" fillId="18" borderId="25" xfId="0" applyFont="1" applyFill="1" applyBorder="1" applyAlignment="1">
      <alignment horizontal="center"/>
    </xf>
    <xf numFmtId="0" fontId="13" fillId="18" borderId="65" xfId="0" applyFont="1" applyFill="1" applyBorder="1" applyAlignment="1">
      <alignment horizontal="center"/>
    </xf>
    <xf numFmtId="49" fontId="13" fillId="18" borderId="65" xfId="0" applyNumberFormat="1" applyFont="1" applyFill="1" applyBorder="1" applyAlignment="1">
      <alignment horizontal="center"/>
    </xf>
    <xf numFmtId="0" fontId="13" fillId="18" borderId="72" xfId="0" applyFont="1" applyFill="1" applyBorder="1" applyAlignment="1">
      <alignment horizontal="center"/>
    </xf>
    <xf numFmtId="0" fontId="13" fillId="26" borderId="37" xfId="0" applyFont="1" applyFill="1" applyBorder="1" applyAlignment="1">
      <alignment horizontal="center"/>
    </xf>
    <xf numFmtId="0" fontId="13" fillId="26" borderId="84" xfId="0" applyFont="1" applyFill="1" applyBorder="1" applyAlignment="1">
      <alignment horizontal="center"/>
    </xf>
    <xf numFmtId="49" fontId="13" fillId="26" borderId="22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18" borderId="88" xfId="0" applyFont="1" applyFill="1" applyBorder="1" applyAlignment="1">
      <alignment horizontal="center"/>
    </xf>
    <xf numFmtId="0" fontId="13" fillId="18" borderId="90" xfId="0" applyFont="1" applyFill="1" applyBorder="1" applyAlignment="1">
      <alignment horizontal="center"/>
    </xf>
    <xf numFmtId="0" fontId="13" fillId="18" borderId="89" xfId="0" applyFont="1" applyFill="1" applyBorder="1" applyAlignment="1">
      <alignment horizontal="center"/>
    </xf>
    <xf numFmtId="49" fontId="13" fillId="18" borderId="31" xfId="0" applyNumberFormat="1" applyFont="1" applyFill="1" applyBorder="1" applyAlignment="1">
      <alignment horizontal="center" vertical="center"/>
    </xf>
    <xf numFmtId="49" fontId="13" fillId="19" borderId="9" xfId="0" applyNumberFormat="1" applyFont="1" applyFill="1" applyBorder="1" applyAlignment="1">
      <alignment horizontal="center" vertical="center"/>
    </xf>
    <xf numFmtId="49" fontId="13" fillId="25" borderId="36" xfId="0" applyNumberFormat="1" applyFont="1" applyFill="1" applyBorder="1" applyAlignment="1">
      <alignment horizontal="center" vertical="center"/>
    </xf>
    <xf numFmtId="49" fontId="13" fillId="19" borderId="17" xfId="0" applyNumberFormat="1" applyFont="1" applyFill="1" applyBorder="1" applyAlignment="1">
      <alignment horizontal="center" vertical="center"/>
    </xf>
    <xf numFmtId="49" fontId="13" fillId="25" borderId="17" xfId="0" applyNumberFormat="1" applyFont="1" applyFill="1" applyBorder="1" applyAlignment="1">
      <alignment horizontal="center" vertical="center"/>
    </xf>
    <xf numFmtId="49" fontId="13" fillId="25" borderId="9" xfId="0" applyNumberFormat="1" applyFont="1" applyFill="1" applyBorder="1" applyAlignment="1">
      <alignment horizontal="center" vertical="center"/>
    </xf>
    <xf numFmtId="49" fontId="13" fillId="25" borderId="4" xfId="1" applyNumberFormat="1" applyFont="1" applyFill="1" applyBorder="1" applyAlignment="1">
      <alignment horizontal="center"/>
    </xf>
    <xf numFmtId="49" fontId="13" fillId="19" borderId="31" xfId="0" applyNumberFormat="1" applyFont="1" applyFill="1" applyBorder="1" applyAlignment="1">
      <alignment horizontal="center" vertical="center"/>
    </xf>
    <xf numFmtId="49" fontId="13" fillId="19" borderId="191" xfId="0" applyNumberFormat="1" applyFont="1" applyFill="1" applyBorder="1" applyAlignment="1">
      <alignment horizontal="center" vertical="center"/>
    </xf>
    <xf numFmtId="49" fontId="13" fillId="19" borderId="11" xfId="0" applyNumberFormat="1" applyFont="1" applyFill="1" applyBorder="1" applyAlignment="1">
      <alignment horizontal="center" vertical="center"/>
    </xf>
    <xf numFmtId="49" fontId="13" fillId="25" borderId="6" xfId="0" applyNumberFormat="1" applyFont="1" applyFill="1" applyBorder="1" applyAlignment="1">
      <alignment horizontal="center" vertical="center"/>
    </xf>
    <xf numFmtId="49" fontId="13" fillId="19" borderId="6" xfId="0" applyNumberFormat="1" applyFont="1" applyFill="1" applyBorder="1" applyAlignment="1">
      <alignment horizontal="center" vertical="center"/>
    </xf>
    <xf numFmtId="49" fontId="13" fillId="25" borderId="22" xfId="0" applyNumberFormat="1" applyFont="1" applyFill="1" applyBorder="1" applyAlignment="1">
      <alignment horizontal="center" vertical="center"/>
    </xf>
    <xf numFmtId="49" fontId="13" fillId="31" borderId="17" xfId="0" applyNumberFormat="1" applyFont="1" applyFill="1" applyBorder="1" applyAlignment="1">
      <alignment horizontal="center" vertical="center"/>
    </xf>
    <xf numFmtId="49" fontId="13" fillId="19" borderId="22" xfId="0" applyNumberFormat="1" applyFont="1" applyFill="1" applyBorder="1" applyAlignment="1">
      <alignment horizontal="center" vertical="center"/>
    </xf>
    <xf numFmtId="49" fontId="13" fillId="31" borderId="22" xfId="0" applyNumberFormat="1" applyFont="1" applyFill="1" applyBorder="1" applyAlignment="1">
      <alignment horizontal="center" vertical="center"/>
    </xf>
    <xf numFmtId="0" fontId="13" fillId="31" borderId="17" xfId="0" applyFont="1" applyFill="1" applyBorder="1" applyAlignment="1">
      <alignment horizontal="center" vertical="center"/>
    </xf>
    <xf numFmtId="49" fontId="13" fillId="25" borderId="17" xfId="1" applyNumberFormat="1" applyFont="1" applyFill="1" applyBorder="1" applyAlignment="1">
      <alignment horizontal="center" vertical="center"/>
    </xf>
    <xf numFmtId="49" fontId="13" fillId="19" borderId="17" xfId="1" applyNumberFormat="1" applyFont="1" applyFill="1" applyBorder="1" applyAlignment="1">
      <alignment horizontal="center"/>
    </xf>
    <xf numFmtId="49" fontId="13" fillId="19" borderId="12" xfId="0" applyNumberFormat="1" applyFont="1" applyFill="1" applyBorder="1" applyAlignment="1">
      <alignment horizontal="center" vertical="center"/>
    </xf>
    <xf numFmtId="49" fontId="13" fillId="25" borderId="28" xfId="0" applyNumberFormat="1" applyFont="1" applyFill="1" applyBorder="1" applyAlignment="1">
      <alignment horizontal="center" vertical="center"/>
    </xf>
    <xf numFmtId="49" fontId="13" fillId="25" borderId="31" xfId="0" applyNumberFormat="1" applyFont="1" applyFill="1" applyBorder="1" applyAlignment="1">
      <alignment horizontal="center" vertical="center"/>
    </xf>
    <xf numFmtId="0" fontId="3" fillId="32" borderId="37" xfId="0" applyFont="1" applyFill="1" applyBorder="1" applyAlignment="1">
      <alignment horizontal="center"/>
    </xf>
    <xf numFmtId="0" fontId="3" fillId="32" borderId="58" xfId="0" applyFont="1" applyFill="1" applyBorder="1" applyAlignment="1">
      <alignment horizontal="center"/>
    </xf>
    <xf numFmtId="0" fontId="3" fillId="32" borderId="84" xfId="0" applyFont="1" applyFill="1" applyBorder="1"/>
    <xf numFmtId="49" fontId="3" fillId="32" borderId="17" xfId="0" applyNumberFormat="1" applyFont="1" applyFill="1" applyBorder="1" applyAlignment="1">
      <alignment horizontal="center" vertical="center"/>
    </xf>
    <xf numFmtId="0" fontId="2" fillId="33" borderId="10" xfId="0" applyFont="1" applyFill="1" applyBorder="1"/>
    <xf numFmtId="49" fontId="3" fillId="32" borderId="22" xfId="0" applyNumberFormat="1" applyFont="1" applyFill="1" applyBorder="1" applyAlignment="1">
      <alignment horizontal="center" vertical="center"/>
    </xf>
    <xf numFmtId="0" fontId="3" fillId="32" borderId="37" xfId="0" applyFont="1" applyFill="1" applyBorder="1"/>
    <xf numFmtId="0" fontId="3" fillId="32" borderId="58" xfId="0" applyFont="1" applyFill="1" applyBorder="1"/>
    <xf numFmtId="0" fontId="3" fillId="32" borderId="17" xfId="0" applyFont="1" applyFill="1" applyBorder="1" applyAlignment="1">
      <alignment horizontal="center" vertical="center"/>
    </xf>
    <xf numFmtId="0" fontId="13" fillId="27" borderId="5" xfId="0" applyFont="1" applyFill="1" applyBorder="1" applyAlignment="1">
      <alignment horizontal="center" vertical="center"/>
    </xf>
    <xf numFmtId="0" fontId="13" fillId="27" borderId="13" xfId="0" applyFont="1" applyFill="1" applyBorder="1" applyAlignment="1">
      <alignment horizontal="center" vertical="center"/>
    </xf>
    <xf numFmtId="0" fontId="13" fillId="27" borderId="161" xfId="0" applyFont="1" applyFill="1" applyBorder="1" applyAlignment="1">
      <alignment horizontal="center" vertical="center"/>
    </xf>
    <xf numFmtId="0" fontId="13" fillId="27" borderId="164" xfId="0" applyFont="1" applyFill="1" applyBorder="1" applyAlignment="1">
      <alignment horizontal="center" vertical="center"/>
    </xf>
    <xf numFmtId="0" fontId="13" fillId="26" borderId="36" xfId="0" applyFont="1" applyFill="1" applyBorder="1" applyAlignment="1">
      <alignment horizontal="center" vertical="center"/>
    </xf>
    <xf numFmtId="0" fontId="19" fillId="27" borderId="5" xfId="0" applyFont="1" applyFill="1" applyBorder="1" applyAlignment="1">
      <alignment horizontal="center" vertical="center"/>
    </xf>
    <xf numFmtId="0" fontId="19" fillId="27" borderId="13" xfId="0" applyFont="1" applyFill="1" applyBorder="1" applyAlignment="1">
      <alignment horizontal="center" vertical="center"/>
    </xf>
    <xf numFmtId="0" fontId="19" fillId="27" borderId="161" xfId="0" applyFont="1" applyFill="1" applyBorder="1" applyAlignment="1">
      <alignment horizontal="center" vertical="center"/>
    </xf>
    <xf numFmtId="0" fontId="19" fillId="27" borderId="164" xfId="0" applyFont="1" applyFill="1" applyBorder="1" applyAlignment="1">
      <alignment horizontal="center" vertical="center"/>
    </xf>
    <xf numFmtId="0" fontId="19" fillId="26" borderId="22" xfId="0" applyFont="1" applyFill="1" applyBorder="1" applyAlignment="1">
      <alignment horizontal="center" vertical="center"/>
    </xf>
    <xf numFmtId="0" fontId="19" fillId="26" borderId="36" xfId="0" applyFont="1" applyFill="1" applyBorder="1" applyAlignment="1">
      <alignment horizontal="center" vertical="center"/>
    </xf>
    <xf numFmtId="0" fontId="19" fillId="25" borderId="164" xfId="0" applyFont="1" applyFill="1" applyBorder="1" applyAlignment="1">
      <alignment horizontal="center" vertical="center"/>
    </xf>
    <xf numFmtId="0" fontId="19" fillId="25" borderId="13" xfId="0" applyFont="1" applyFill="1" applyBorder="1" applyAlignment="1">
      <alignment horizontal="center" vertical="center"/>
    </xf>
    <xf numFmtId="0" fontId="19" fillId="25" borderId="28" xfId="0" applyFont="1" applyFill="1" applyBorder="1" applyAlignment="1">
      <alignment horizontal="center" vertical="center"/>
    </xf>
    <xf numFmtId="0" fontId="13" fillId="26" borderId="10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left" vertical="top" wrapText="1"/>
    </xf>
    <xf numFmtId="0" fontId="2" fillId="22" borderId="13" xfId="0" applyFont="1" applyFill="1" applyBorder="1" applyAlignment="1">
      <alignment horizontal="left" vertical="top" wrapText="1"/>
    </xf>
    <xf numFmtId="0" fontId="2" fillId="22" borderId="16" xfId="0" applyFont="1" applyFill="1" applyBorder="1" applyAlignment="1">
      <alignment horizontal="left" vertical="top" wrapText="1"/>
    </xf>
    <xf numFmtId="0" fontId="2" fillId="22" borderId="18" xfId="0" applyFont="1" applyFill="1" applyBorder="1" applyAlignment="1">
      <alignment horizontal="left" vertical="top" wrapText="1"/>
    </xf>
    <xf numFmtId="0" fontId="2" fillId="22" borderId="161" xfId="0" applyFont="1" applyFill="1" applyBorder="1" applyAlignment="1">
      <alignment horizontal="left" vertical="top" wrapText="1"/>
    </xf>
    <xf numFmtId="0" fontId="13" fillId="0" borderId="49" xfId="0" applyFont="1" applyBorder="1"/>
    <xf numFmtId="0" fontId="13" fillId="26" borderId="164" xfId="0" applyFont="1" applyFill="1" applyBorder="1" applyAlignment="1">
      <alignment horizontal="center" vertical="center"/>
    </xf>
    <xf numFmtId="0" fontId="13" fillId="26" borderId="13" xfId="0" applyFont="1" applyFill="1" applyBorder="1" applyAlignment="1">
      <alignment horizontal="center" vertical="center"/>
    </xf>
    <xf numFmtId="0" fontId="13" fillId="26" borderId="28" xfId="0" applyFont="1" applyFill="1" applyBorder="1" applyAlignment="1">
      <alignment horizontal="center" vertical="center"/>
    </xf>
    <xf numFmtId="0" fontId="13" fillId="26" borderId="6" xfId="0" applyFont="1" applyFill="1" applyBorder="1" applyAlignment="1">
      <alignment horizontal="center" vertical="center"/>
    </xf>
    <xf numFmtId="0" fontId="13" fillId="26" borderId="80" xfId="0" applyFont="1" applyFill="1" applyBorder="1" applyAlignment="1">
      <alignment horizontal="center" vertical="center"/>
    </xf>
    <xf numFmtId="0" fontId="13" fillId="26" borderId="164" xfId="0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/>
    </xf>
    <xf numFmtId="0" fontId="17" fillId="22" borderId="5" xfId="0" applyFont="1" applyFill="1" applyBorder="1" applyAlignment="1">
      <alignment horizontal="left" vertical="top" wrapText="1"/>
    </xf>
    <xf numFmtId="0" fontId="17" fillId="22" borderId="161" xfId="0" applyFont="1" applyFill="1" applyBorder="1" applyAlignment="1">
      <alignment horizontal="left" vertical="top" wrapText="1"/>
    </xf>
    <xf numFmtId="0" fontId="13" fillId="27" borderId="28" xfId="0" applyFont="1" applyFill="1" applyBorder="1" applyAlignment="1">
      <alignment horizontal="center" vertical="center"/>
    </xf>
    <xf numFmtId="0" fontId="13" fillId="26" borderId="161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13" fillId="26" borderId="191" xfId="0" applyFont="1" applyFill="1" applyBorder="1" applyAlignment="1">
      <alignment horizontal="center" vertical="center"/>
    </xf>
    <xf numFmtId="0" fontId="3" fillId="18" borderId="57" xfId="0" applyFont="1" applyFill="1" applyBorder="1" applyAlignment="1">
      <alignment horizontal="center" vertical="center"/>
    </xf>
    <xf numFmtId="0" fontId="3" fillId="28" borderId="57" xfId="0" applyFont="1" applyFill="1" applyBorder="1" applyAlignment="1">
      <alignment horizontal="center" vertical="center"/>
    </xf>
    <xf numFmtId="0" fontId="3" fillId="26" borderId="57" xfId="0" applyFont="1" applyFill="1" applyBorder="1" applyAlignment="1">
      <alignment horizontal="center" vertical="center"/>
    </xf>
    <xf numFmtId="0" fontId="3" fillId="27" borderId="57" xfId="0" applyFont="1" applyFill="1" applyBorder="1" applyAlignment="1">
      <alignment horizontal="center" vertical="center"/>
    </xf>
    <xf numFmtId="0" fontId="3" fillId="18" borderId="162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190" xfId="0" applyFont="1" applyFill="1" applyBorder="1" applyAlignment="1">
      <alignment horizontal="center" vertical="center"/>
    </xf>
    <xf numFmtId="0" fontId="3" fillId="18" borderId="78" xfId="0" applyFont="1" applyFill="1" applyBorder="1" applyAlignment="1">
      <alignment horizontal="center" vertical="center"/>
    </xf>
    <xf numFmtId="0" fontId="3" fillId="26" borderId="55" xfId="0" applyFont="1" applyFill="1" applyBorder="1" applyAlignment="1">
      <alignment horizontal="center" vertical="center"/>
    </xf>
    <xf numFmtId="0" fontId="3" fillId="18" borderId="70" xfId="0" applyFont="1" applyFill="1" applyBorder="1" applyAlignment="1">
      <alignment horizontal="center" vertical="center"/>
    </xf>
    <xf numFmtId="0" fontId="3" fillId="26" borderId="78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19" borderId="70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3" xfId="0" applyBorder="1" applyProtection="1">
      <protection locked="0"/>
    </xf>
    <xf numFmtId="0" fontId="0" fillId="0" borderId="0" xfId="0" applyBorder="1" applyProtection="1">
      <protection locked="0"/>
    </xf>
    <xf numFmtId="49" fontId="0" fillId="0" borderId="3" xfId="0" applyNumberForma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6" fontId="3" fillId="3" borderId="55" xfId="0" applyNumberFormat="1" applyFont="1" applyFill="1" applyBorder="1" applyAlignment="1">
      <alignment horizontal="center" vertical="center"/>
    </xf>
    <xf numFmtId="1" fontId="3" fillId="3" borderId="73" xfId="0" applyNumberFormat="1" applyFont="1" applyFill="1" applyBorder="1" applyAlignment="1">
      <alignment horizontal="center" vertical="center"/>
    </xf>
    <xf numFmtId="0" fontId="3" fillId="13" borderId="192" xfId="0" applyFont="1" applyFill="1" applyBorder="1" applyAlignment="1">
      <alignment horizontal="center" vertical="center"/>
    </xf>
    <xf numFmtId="0" fontId="3" fillId="13" borderId="36" xfId="0" applyFont="1" applyFill="1" applyBorder="1" applyAlignment="1">
      <alignment horizontal="center" vertical="center"/>
    </xf>
    <xf numFmtId="0" fontId="3" fillId="4" borderId="193" xfId="0" applyFont="1" applyFill="1" applyBorder="1" applyAlignment="1">
      <alignment horizontal="center" vertical="center"/>
    </xf>
    <xf numFmtId="0" fontId="3" fillId="4" borderId="194" xfId="0" applyFont="1" applyFill="1" applyBorder="1" applyAlignment="1">
      <alignment horizontal="center" vertical="center"/>
    </xf>
    <xf numFmtId="0" fontId="3" fillId="4" borderId="195" xfId="0" applyFont="1" applyFill="1" applyBorder="1" applyAlignment="1">
      <alignment horizontal="center" vertical="center"/>
    </xf>
    <xf numFmtId="0" fontId="3" fillId="4" borderId="194" xfId="0" applyFont="1" applyFill="1" applyBorder="1" applyAlignment="1">
      <alignment horizontal="center" vertical="center"/>
    </xf>
    <xf numFmtId="0" fontId="3" fillId="13" borderId="74" xfId="0" applyFont="1" applyFill="1" applyBorder="1" applyAlignment="1">
      <alignment horizontal="center" vertical="center"/>
    </xf>
    <xf numFmtId="0" fontId="3" fillId="13" borderId="79" xfId="0" applyFont="1" applyFill="1" applyBorder="1" applyAlignment="1">
      <alignment horizontal="center" vertical="center"/>
    </xf>
    <xf numFmtId="0" fontId="3" fillId="13" borderId="138" xfId="0" applyFont="1" applyFill="1" applyBorder="1" applyAlignment="1">
      <alignment horizontal="center" vertical="center"/>
    </xf>
    <xf numFmtId="0" fontId="0" fillId="13" borderId="1" xfId="0" applyFill="1" applyBorder="1" applyAlignment="1" applyProtection="1">
      <alignment horizontal="center"/>
      <protection locked="0"/>
    </xf>
    <xf numFmtId="0" fontId="3" fillId="4" borderId="3" xfId="0" applyFont="1" applyFill="1" applyBorder="1" applyAlignment="1">
      <alignment horizontal="center"/>
    </xf>
    <xf numFmtId="165" fontId="3" fillId="3" borderId="53" xfId="0" applyNumberFormat="1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141" xfId="0" applyFont="1" applyFill="1" applyBorder="1" applyAlignment="1">
      <alignment horizontal="center"/>
    </xf>
    <xf numFmtId="0" fontId="3" fillId="3" borderId="117" xfId="0" applyFont="1" applyFill="1" applyBorder="1" applyAlignment="1">
      <alignment horizontal="center"/>
    </xf>
    <xf numFmtId="0" fontId="0" fillId="34" borderId="196" xfId="0" applyFill="1" applyBorder="1" applyAlignment="1">
      <alignment horizontal="center" vertical="top"/>
    </xf>
    <xf numFmtId="0" fontId="0" fillId="2" borderId="60" xfId="0" applyFill="1" applyBorder="1" applyAlignment="1">
      <alignment horizontal="center" vertical="center" wrapText="1"/>
    </xf>
    <xf numFmtId="0" fontId="0" fillId="4" borderId="81" xfId="0" applyFill="1" applyBorder="1" applyAlignment="1" applyProtection="1">
      <alignment horizontal="center" vertical="center"/>
      <protection locked="0"/>
    </xf>
    <xf numFmtId="0" fontId="0" fillId="2" borderId="190" xfId="0" applyFill="1" applyBorder="1" applyAlignment="1">
      <alignment horizontal="center" vertical="center" wrapText="1"/>
    </xf>
    <xf numFmtId="0" fontId="0" fillId="4" borderId="82" xfId="0" applyFill="1" applyBorder="1" applyAlignment="1" applyProtection="1">
      <alignment horizontal="center" vertical="center"/>
      <protection locked="0"/>
    </xf>
    <xf numFmtId="0" fontId="3" fillId="4" borderId="0" xfId="0" applyFont="1" applyFill="1" applyBorder="1" applyAlignment="1">
      <alignment horizontal="center"/>
    </xf>
    <xf numFmtId="0" fontId="0" fillId="34" borderId="197" xfId="0" applyFill="1" applyBorder="1" applyAlignment="1">
      <alignment horizontal="center" vertical="top"/>
    </xf>
    <xf numFmtId="0" fontId="0" fillId="13" borderId="138" xfId="0" applyFill="1" applyBorder="1" applyAlignment="1" applyProtection="1">
      <alignment horizontal="center"/>
      <protection locked="0"/>
    </xf>
    <xf numFmtId="0" fontId="0" fillId="13" borderId="74" xfId="0" applyFill="1" applyBorder="1" applyAlignment="1" applyProtection="1">
      <alignment horizontal="center"/>
      <protection locked="0"/>
    </xf>
    <xf numFmtId="0" fontId="0" fillId="13" borderId="131" xfId="0" applyFill="1" applyBorder="1" applyAlignment="1" applyProtection="1">
      <alignment horizontal="center"/>
      <protection locked="0"/>
    </xf>
  </cellXfs>
  <cellStyles count="2">
    <cellStyle name="Dziesiętny" xfId="1" builtinId="3"/>
    <cellStyle name="Normalny" xfId="0" builtinId="0"/>
  </cellStyles>
  <dxfs count="25"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color rgb="FFC00000"/>
      </font>
    </dxf>
    <dxf>
      <font>
        <b/>
        <i val="0"/>
        <color rgb="FF86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  <fill>
        <patternFill>
          <bgColor theme="0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strike val="0"/>
        <u val="double"/>
        <color rgb="FFC00000"/>
      </font>
      <numFmt numFmtId="0" formatCode="General"/>
      <fill>
        <gradientFill type="path" left="0.5" right="0.5" top="0.5" bottom="0.5">
          <stop position="0">
            <color theme="7" tint="0.59999389629810485"/>
          </stop>
          <stop position="1">
            <color rgb="FFFFC000"/>
          </stop>
        </gradientFill>
      </fill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767171"/>
      <rgbColor rgb="FFAFABAB"/>
      <rgbColor rgb="FF003366"/>
      <rgbColor rgb="FF339966"/>
      <rgbColor rgb="FF0D0D0D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CA644"/>
      <color rgb="FF860000"/>
      <color rgb="FF2BA52E"/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O$20" lockText="1" noThreeD="1"/>
</file>

<file path=xl/ctrlProps/ctrlProp2.xml><?xml version="1.0" encoding="utf-8"?>
<formControlPr xmlns="http://schemas.microsoft.com/office/spreadsheetml/2009/9/main" objectType="CheckBox" fmlaLink="$C$40" lockText="1" noThreeD="1"/>
</file>

<file path=xl/ctrlProps/ctrlProp3.xml><?xml version="1.0" encoding="utf-8"?>
<formControlPr xmlns="http://schemas.microsoft.com/office/spreadsheetml/2009/9/main" objectType="CheckBox" fmlaLink="$C$41" lockText="1" noThreeD="1"/>
</file>

<file path=xl/ctrlProps/ctrlProp4.xml><?xml version="1.0" encoding="utf-8"?>
<formControlPr xmlns="http://schemas.microsoft.com/office/spreadsheetml/2009/9/main" objectType="CheckBox" fmlaLink="$C$42" lockText="1" noThreeD="1"/>
</file>

<file path=xl/ctrlProps/ctrlProp5.xml><?xml version="1.0" encoding="utf-8"?>
<formControlPr xmlns="http://schemas.microsoft.com/office/spreadsheetml/2009/9/main" objectType="CheckBox" fmlaLink="$C$43" lockText="1" noThreeD="1"/>
</file>

<file path=xl/ctrlProps/ctrlProp6.xml><?xml version="1.0" encoding="utf-8"?>
<formControlPr xmlns="http://schemas.microsoft.com/office/spreadsheetml/2009/9/main" objectType="CheckBox" fmlaLink="$C$44" lockText="1" noThreeD="1"/>
</file>

<file path=xl/ctrlProps/ctrlProp7.xml><?xml version="1.0" encoding="utf-8"?>
<formControlPr xmlns="http://schemas.microsoft.com/office/spreadsheetml/2009/9/main" objectType="CheckBox" fmlaLink="$O$20" lockText="1" noThreeD="1"/>
</file>

<file path=xl/ctrlProps/ctrlProp8.xml><?xml version="1.0" encoding="utf-8"?>
<formControlPr xmlns="http://schemas.microsoft.com/office/spreadsheetml/2009/9/main" objectType="CheckBox" fmlaLink="$O$20" lockText="1" noThreeD="1"/>
</file>

<file path=xl/ctrlProps/ctrlProp9.xml><?xml version="1.0" encoding="utf-8"?>
<formControlPr xmlns="http://schemas.microsoft.com/office/spreadsheetml/2009/9/main" objectType="CheckBox" fmlaLink="$O$20" lockText="1" noThreeD="1"/>
</file>

<file path=xl/ctrlProps/ctrlProp10.xml><?xml version="1.0" encoding="utf-8"?>
<formControlPr xmlns="http://schemas.microsoft.com/office/spreadsheetml/2009/9/main" objectType="CheckBox" fmlaLink="$O$20" lockText="1" noThreeD="1"/>
</file>

<file path=xl/ctrlProps/ctrlProp11.xml><?xml version="1.0" encoding="utf-8"?>
<formControlPr xmlns="http://schemas.microsoft.com/office/spreadsheetml/2009/9/main" objectType="CheckBox" fmlaLink="$S$20" lockText="1" noThreeD="1"/>
</file>

<file path=xl/ctrlProps/ctrlProp12.xml><?xml version="1.0" encoding="utf-8"?>
<formControlPr xmlns="http://schemas.microsoft.com/office/spreadsheetml/2009/9/main" objectType="CheckBox" fmlaLink="$W$20" lockText="1" noThreeD="1"/>
</file>

<file path=xl/ctrlProps/ctrlProp13.xml><?xml version="1.0" encoding="utf-8"?>
<formControlPr xmlns="http://schemas.microsoft.com/office/spreadsheetml/2009/9/main" objectType="CheckBox" fmlaLink="$AA$20" lockText="1" noThreeD="1"/>
</file>

<file path=xl/ctrlProps/ctrlProp14.xml><?xml version="1.0" encoding="utf-8"?>
<formControlPr xmlns="http://schemas.microsoft.com/office/spreadsheetml/2009/9/main" objectType="CheckBox" fmlaLink="$O$32" lockText="1" noThreeD="1"/>
</file>

<file path=xl/ctrlProps/ctrlProp15.xml><?xml version="1.0" encoding="utf-8"?>
<formControlPr xmlns="http://schemas.microsoft.com/office/spreadsheetml/2009/9/main" objectType="CheckBox" fmlaLink="$S$32" lockText="1" noThreeD="1"/>
</file>

<file path=xl/ctrlProps/ctrlProp16.xml><?xml version="1.0" encoding="utf-8"?>
<formControlPr xmlns="http://schemas.microsoft.com/office/spreadsheetml/2009/9/main" objectType="CheckBox" fmlaLink="$W$32" lockText="1" noThreeD="1"/>
</file>

<file path=xl/ctrlProps/ctrlProp17.xml><?xml version="1.0" encoding="utf-8"?>
<formControlPr xmlns="http://schemas.microsoft.com/office/spreadsheetml/2009/9/main" objectType="CheckBox" fmlaLink="$AA$3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257175</xdr:colOff>
          <xdr:row>18</xdr:row>
          <xdr:rowOff>114300</xdr:rowOff>
        </xdr:from>
        <xdr:to>
          <xdr:col>14</xdr:col>
          <xdr:colOff>628650</xdr:colOff>
          <xdr:row>20</xdr:row>
          <xdr:rowOff>76200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542059</xdr:colOff>
          <xdr:row>38</xdr:row>
          <xdr:rowOff>206952</xdr:rowOff>
        </xdr:from>
        <xdr:to>
          <xdr:col>2</xdr:col>
          <xdr:colOff>1008784</xdr:colOff>
          <xdr:row>40</xdr:row>
          <xdr:rowOff>7793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40</xdr:row>
          <xdr:rowOff>0</xdr:rowOff>
        </xdr:from>
        <xdr:to>
          <xdr:col>2</xdr:col>
          <xdr:colOff>1095375</xdr:colOff>
          <xdr:row>41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40</xdr:row>
          <xdr:rowOff>133350</xdr:rowOff>
        </xdr:from>
        <xdr:to>
          <xdr:col>2</xdr:col>
          <xdr:colOff>1162050</xdr:colOff>
          <xdr:row>42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542925</xdr:colOff>
          <xdr:row>41</xdr:row>
          <xdr:rowOff>190500</xdr:rowOff>
        </xdr:from>
        <xdr:to>
          <xdr:col>2</xdr:col>
          <xdr:colOff>1181100</xdr:colOff>
          <xdr:row>43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542925</xdr:colOff>
          <xdr:row>42</xdr:row>
          <xdr:rowOff>171450</xdr:rowOff>
        </xdr:from>
        <xdr:to>
          <xdr:col>2</xdr:col>
          <xdr:colOff>990600</xdr:colOff>
          <xdr:row>44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257175</xdr:colOff>
          <xdr:row>30</xdr:row>
          <xdr:rowOff>114300</xdr:rowOff>
        </xdr:from>
        <xdr:to>
          <xdr:col>14</xdr:col>
          <xdr:colOff>628650</xdr:colOff>
          <xdr:row>32</xdr:row>
          <xdr:rowOff>66675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257175</xdr:colOff>
          <xdr:row>30</xdr:row>
          <xdr:rowOff>114300</xdr:rowOff>
        </xdr:from>
        <xdr:to>
          <xdr:col>18</xdr:col>
          <xdr:colOff>628650</xdr:colOff>
          <xdr:row>32</xdr:row>
          <xdr:rowOff>66675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257175</xdr:colOff>
          <xdr:row>30</xdr:row>
          <xdr:rowOff>114300</xdr:rowOff>
        </xdr:from>
        <xdr:to>
          <xdr:col>22</xdr:col>
          <xdr:colOff>628650</xdr:colOff>
          <xdr:row>32</xdr:row>
          <xdr:rowOff>66675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257175</xdr:colOff>
          <xdr:row>30</xdr:row>
          <xdr:rowOff>114300</xdr:rowOff>
        </xdr:from>
        <xdr:to>
          <xdr:col>26</xdr:col>
          <xdr:colOff>628650</xdr:colOff>
          <xdr:row>32</xdr:row>
          <xdr:rowOff>66675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257175</xdr:colOff>
          <xdr:row>18</xdr:row>
          <xdr:rowOff>114300</xdr:rowOff>
        </xdr:from>
        <xdr:to>
          <xdr:col>18</xdr:col>
          <xdr:colOff>628650</xdr:colOff>
          <xdr:row>20</xdr:row>
          <xdr:rowOff>76200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257175</xdr:colOff>
          <xdr:row>18</xdr:row>
          <xdr:rowOff>114300</xdr:rowOff>
        </xdr:from>
        <xdr:to>
          <xdr:col>22</xdr:col>
          <xdr:colOff>628650</xdr:colOff>
          <xdr:row>20</xdr:row>
          <xdr:rowOff>76200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257175</xdr:colOff>
          <xdr:row>18</xdr:row>
          <xdr:rowOff>114300</xdr:rowOff>
        </xdr:from>
        <xdr:to>
          <xdr:col>26</xdr:col>
          <xdr:colOff>628650</xdr:colOff>
          <xdr:row>20</xdr:row>
          <xdr:rowOff>76200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257175</xdr:colOff>
          <xdr:row>30</xdr:row>
          <xdr:rowOff>114300</xdr:rowOff>
        </xdr:from>
        <xdr:to>
          <xdr:col>14</xdr:col>
          <xdr:colOff>628650</xdr:colOff>
          <xdr:row>32</xdr:row>
          <xdr:rowOff>66675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257175</xdr:colOff>
          <xdr:row>30</xdr:row>
          <xdr:rowOff>114300</xdr:rowOff>
        </xdr:from>
        <xdr:to>
          <xdr:col>18</xdr:col>
          <xdr:colOff>628650</xdr:colOff>
          <xdr:row>32</xdr:row>
          <xdr:rowOff>66675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257175</xdr:colOff>
          <xdr:row>30</xdr:row>
          <xdr:rowOff>114300</xdr:rowOff>
        </xdr:from>
        <xdr:to>
          <xdr:col>22</xdr:col>
          <xdr:colOff>628650</xdr:colOff>
          <xdr:row>32</xdr:row>
          <xdr:rowOff>66675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257175</xdr:colOff>
          <xdr:row>30</xdr:row>
          <xdr:rowOff>114300</xdr:rowOff>
        </xdr:from>
        <xdr:to>
          <xdr:col>26</xdr:col>
          <xdr:colOff>628650</xdr:colOff>
          <xdr:row>32</xdr:row>
          <xdr:rowOff>66675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"/>
  <sheetViews>
    <sheetView tabSelected="1" topLeftCell="A14" zoomScale="110" zoomScaleNormal="110" workbookViewId="0">
      <selection activeCell="E47" sqref="E47"/>
    </sheetView>
  </sheetViews>
  <sheetFormatPr defaultColWidth="8.5703125" defaultRowHeight="15" x14ac:dyDescent="0.25"/>
  <cols>
    <col min="1" max="1" width="8.5703125" style="55"/>
    <col min="2" max="5" width="19.28515625" style="55" customWidth="1"/>
    <col min="6" max="6" width="3.7109375" style="55" customWidth="1"/>
    <col min="7" max="7" width="19.28515625" style="55" customWidth="1"/>
    <col min="8" max="8" width="28.5703125" style="55" bestFit="1" customWidth="1"/>
    <col min="9" max="10" width="19.28515625" style="55" customWidth="1"/>
    <col min="11" max="11" width="3.7109375" style="55" customWidth="1"/>
    <col min="12" max="27" width="13.28515625" style="55" customWidth="1"/>
    <col min="28" max="16384" width="8.5703125" style="55"/>
  </cols>
  <sheetData>
    <row r="1" spans="1:29" ht="15.75" thickBot="1" x14ac:dyDescent="0.3">
      <c r="B1" s="56"/>
      <c r="C1" s="56"/>
      <c r="D1" s="56"/>
      <c r="E1" s="56"/>
      <c r="R1" s="56"/>
      <c r="S1" s="56"/>
      <c r="T1" s="56"/>
    </row>
    <row r="2" spans="1:29" ht="17.25" thickTop="1" thickBot="1" x14ac:dyDescent="0.3">
      <c r="B2" s="242" t="s">
        <v>111</v>
      </c>
      <c r="C2" s="243"/>
      <c r="D2" s="242" t="s">
        <v>116</v>
      </c>
      <c r="E2" s="243"/>
      <c r="F2" s="57"/>
      <c r="G2" s="239" t="s">
        <v>23</v>
      </c>
      <c r="H2" s="240"/>
      <c r="I2" s="240"/>
      <c r="J2" s="241"/>
      <c r="K2" s="57"/>
      <c r="L2" s="254" t="s">
        <v>152</v>
      </c>
      <c r="M2" s="255"/>
      <c r="N2" s="255"/>
      <c r="O2" s="255"/>
      <c r="P2" s="255"/>
      <c r="Q2" s="256"/>
      <c r="R2" s="264" t="s">
        <v>159</v>
      </c>
      <c r="S2" s="265"/>
      <c r="T2" s="266"/>
      <c r="V2" s="261" t="s">
        <v>154</v>
      </c>
      <c r="W2" s="262"/>
      <c r="X2" s="262"/>
      <c r="Y2" s="262"/>
      <c r="Z2" s="262"/>
      <c r="AA2" s="263"/>
    </row>
    <row r="3" spans="1:29" ht="16.5" customHeight="1" thickTop="1" thickBot="1" x14ac:dyDescent="0.3">
      <c r="A3" s="58"/>
      <c r="B3" s="244">
        <v>1</v>
      </c>
      <c r="C3" s="245"/>
      <c r="D3" s="248">
        <f>3+(B3-1)*2-SUM(D8:D11)</f>
        <v>3</v>
      </c>
      <c r="E3" s="249"/>
      <c r="F3" s="57"/>
      <c r="G3" s="131" t="s">
        <v>150</v>
      </c>
      <c r="H3" s="132" t="s">
        <v>148</v>
      </c>
      <c r="I3" s="132" t="s">
        <v>149</v>
      </c>
      <c r="J3" s="133" t="s">
        <v>147</v>
      </c>
      <c r="K3" s="57"/>
      <c r="L3" s="305" t="s">
        <v>166</v>
      </c>
      <c r="M3" s="258"/>
      <c r="N3" s="257" t="s">
        <v>153</v>
      </c>
      <c r="O3" s="258"/>
      <c r="P3" s="273" t="s">
        <v>151</v>
      </c>
      <c r="Q3" s="274"/>
      <c r="R3" s="267"/>
      <c r="S3" s="268"/>
      <c r="T3" s="269"/>
      <c r="V3" s="277" t="s">
        <v>165</v>
      </c>
      <c r="W3" s="273"/>
      <c r="X3" s="252" t="s">
        <v>161</v>
      </c>
      <c r="Y3" s="253"/>
      <c r="Z3" s="252" t="s">
        <v>506</v>
      </c>
      <c r="AA3" s="276"/>
    </row>
    <row r="4" spans="1:29" ht="16.5" customHeight="1" thickTop="1" thickBot="1" x14ac:dyDescent="0.3">
      <c r="A4" s="58"/>
      <c r="B4" s="246"/>
      <c r="C4" s="247"/>
      <c r="D4" s="250"/>
      <c r="E4" s="251"/>
      <c r="F4" s="57"/>
      <c r="G4" s="23">
        <v>0</v>
      </c>
      <c r="H4" s="24">
        <v>200</v>
      </c>
      <c r="I4" s="25">
        <v>0</v>
      </c>
      <c r="J4" s="59">
        <f>I4*0.005+H4*0.004+G4*0.01</f>
        <v>0.8</v>
      </c>
      <c r="K4" s="57"/>
      <c r="L4" s="278"/>
      <c r="M4" s="260"/>
      <c r="N4" s="259"/>
      <c r="O4" s="260"/>
      <c r="P4" s="259"/>
      <c r="Q4" s="275"/>
      <c r="R4" s="270"/>
      <c r="S4" s="271"/>
      <c r="T4" s="272"/>
      <c r="V4" s="278"/>
      <c r="W4" s="259"/>
      <c r="X4" s="164" t="s">
        <v>468</v>
      </c>
      <c r="Y4" s="165" t="s">
        <v>504</v>
      </c>
      <c r="Z4" s="166" t="s">
        <v>468</v>
      </c>
      <c r="AA4" s="167" t="s">
        <v>505</v>
      </c>
    </row>
    <row r="5" spans="1:29" ht="16.5" customHeight="1" thickTop="1" thickBot="1" x14ac:dyDescent="0.3">
      <c r="B5" s="60"/>
      <c r="C5" s="57"/>
      <c r="D5" s="60"/>
      <c r="E5" s="57"/>
      <c r="F5" s="57"/>
      <c r="G5" s="61"/>
      <c r="H5" s="61"/>
      <c r="I5" s="61"/>
      <c r="J5" s="61"/>
      <c r="K5" s="57"/>
      <c r="L5" s="98" t="s">
        <v>161</v>
      </c>
      <c r="M5" s="99" t="s">
        <v>162</v>
      </c>
      <c r="N5" s="99" t="s">
        <v>163</v>
      </c>
      <c r="O5" s="99" t="s">
        <v>164</v>
      </c>
      <c r="P5" s="99" t="s">
        <v>161</v>
      </c>
      <c r="Q5" s="101" t="s">
        <v>162</v>
      </c>
      <c r="R5" s="289">
        <f>C32*2+C33*4+C34*6+C27</f>
        <v>0</v>
      </c>
      <c r="S5" s="290"/>
      <c r="T5" s="291"/>
      <c r="V5" s="279" t="s">
        <v>501</v>
      </c>
      <c r="W5" s="280"/>
      <c r="X5" s="168" t="s">
        <v>155</v>
      </c>
      <c r="Y5" s="169">
        <f>E22</f>
        <v>0</v>
      </c>
      <c r="Z5" s="196"/>
      <c r="AA5" s="197"/>
    </row>
    <row r="6" spans="1:29" ht="17.25" customHeight="1" thickTop="1" thickBot="1" x14ac:dyDescent="0.3">
      <c r="A6" s="58"/>
      <c r="B6" s="320" t="s">
        <v>0</v>
      </c>
      <c r="C6" s="321"/>
      <c r="D6" s="321"/>
      <c r="E6" s="322"/>
      <c r="F6" s="62"/>
      <c r="G6" s="239" t="s">
        <v>142</v>
      </c>
      <c r="H6" s="240"/>
      <c r="I6" s="240"/>
      <c r="J6" s="241"/>
      <c r="K6" s="57"/>
      <c r="L6" s="296">
        <f>E13-E40</f>
        <v>10</v>
      </c>
      <c r="M6" s="316">
        <f>E40</f>
        <v>0</v>
      </c>
      <c r="N6" s="303">
        <v>0</v>
      </c>
      <c r="O6" s="303">
        <v>0</v>
      </c>
      <c r="P6" s="299">
        <f>L6-O6+IF(Q6=0,M6-N6,0)</f>
        <v>10</v>
      </c>
      <c r="Q6" s="301">
        <f>IF(M6-N6&gt;0,M6-N6,0)</f>
        <v>0</v>
      </c>
      <c r="R6" s="289"/>
      <c r="S6" s="290"/>
      <c r="T6" s="291"/>
      <c r="V6" s="308" t="s">
        <v>477</v>
      </c>
      <c r="W6" s="309"/>
      <c r="X6" s="170" t="s">
        <v>227</v>
      </c>
      <c r="Y6" s="171">
        <f>(E13-E40)/2</f>
        <v>5</v>
      </c>
      <c r="Z6" s="236"/>
      <c r="AA6" s="295"/>
    </row>
    <row r="7" spans="1:29" ht="16.5" thickTop="1" thickBot="1" x14ac:dyDescent="0.3">
      <c r="A7" s="58"/>
      <c r="B7" s="77" t="s">
        <v>0</v>
      </c>
      <c r="C7" s="78" t="s">
        <v>106</v>
      </c>
      <c r="D7" s="79" t="s">
        <v>107</v>
      </c>
      <c r="E7" s="80" t="s">
        <v>108</v>
      </c>
      <c r="F7" s="62"/>
      <c r="G7" s="134" t="s">
        <v>215</v>
      </c>
      <c r="H7" s="139" t="s">
        <v>170</v>
      </c>
      <c r="I7" s="140" t="s">
        <v>118</v>
      </c>
      <c r="J7" s="80" t="s">
        <v>119</v>
      </c>
      <c r="K7" s="57"/>
      <c r="L7" s="297"/>
      <c r="M7" s="316"/>
      <c r="N7" s="303"/>
      <c r="O7" s="303"/>
      <c r="P7" s="299"/>
      <c r="Q7" s="301"/>
      <c r="R7" s="289"/>
      <c r="S7" s="290"/>
      <c r="T7" s="291"/>
      <c r="V7" s="696" t="s">
        <v>500</v>
      </c>
      <c r="W7" s="697"/>
      <c r="X7" s="694" t="s">
        <v>226</v>
      </c>
      <c r="Y7" s="695" t="s">
        <v>156</v>
      </c>
      <c r="Z7" s="692"/>
      <c r="AA7" s="693"/>
    </row>
    <row r="8" spans="1:29" ht="15.75" thickTop="1" x14ac:dyDescent="0.25">
      <c r="A8" s="58"/>
      <c r="B8" s="74" t="s">
        <v>3</v>
      </c>
      <c r="C8" s="14"/>
      <c r="D8" s="6">
        <v>0</v>
      </c>
      <c r="E8" s="70">
        <f>D8+C8</f>
        <v>0</v>
      </c>
      <c r="F8" s="62"/>
      <c r="G8" s="135" t="s">
        <v>168</v>
      </c>
      <c r="H8" s="29" t="s">
        <v>229</v>
      </c>
      <c r="I8" s="63" t="str">
        <f>_xlfn.XLOOKUP(H8,'Zajmowane miejsce'!E3:E31,'Zajmowane miejsce'!F3:F31)</f>
        <v>0</v>
      </c>
      <c r="J8" s="141" t="str">
        <f>I8</f>
        <v>0</v>
      </c>
      <c r="K8" s="57"/>
      <c r="L8" s="297"/>
      <c r="M8" s="316"/>
      <c r="N8" s="303"/>
      <c r="O8" s="303"/>
      <c r="P8" s="299"/>
      <c r="Q8" s="301"/>
      <c r="R8" s="289"/>
      <c r="S8" s="290"/>
      <c r="T8" s="291"/>
      <c r="V8" s="237" t="s">
        <v>499</v>
      </c>
      <c r="W8" s="238"/>
      <c r="X8" s="700"/>
      <c r="Y8" s="698"/>
      <c r="Z8" s="690" t="s">
        <v>224</v>
      </c>
      <c r="AA8" s="691">
        <v>1</v>
      </c>
    </row>
    <row r="9" spans="1:29" x14ac:dyDescent="0.25">
      <c r="A9" s="58"/>
      <c r="B9" s="75" t="s">
        <v>5</v>
      </c>
      <c r="C9" s="15"/>
      <c r="D9" s="7">
        <v>0</v>
      </c>
      <c r="E9" s="71">
        <f>D9+C9</f>
        <v>0</v>
      </c>
      <c r="F9" s="62"/>
      <c r="G9" s="136" t="s">
        <v>169</v>
      </c>
      <c r="H9" s="30" t="s">
        <v>229</v>
      </c>
      <c r="I9" s="64" t="str">
        <f>_xlfn.XLOOKUP(H9,'Zajmowane miejsce'!E3:E31,'Zajmowane miejsce'!F3:F31)</f>
        <v>0</v>
      </c>
      <c r="J9" s="126" t="str">
        <f>I9</f>
        <v>0</v>
      </c>
      <c r="K9" s="57"/>
      <c r="L9" s="297"/>
      <c r="M9" s="316"/>
      <c r="N9" s="303"/>
      <c r="O9" s="303"/>
      <c r="P9" s="299"/>
      <c r="Q9" s="301"/>
      <c r="R9" s="289"/>
      <c r="S9" s="290"/>
      <c r="T9" s="291"/>
      <c r="V9" s="306" t="s">
        <v>498</v>
      </c>
      <c r="W9" s="307"/>
      <c r="X9" s="236"/>
      <c r="Y9" s="689"/>
      <c r="Z9" s="172" t="s">
        <v>225</v>
      </c>
      <c r="AA9" s="173">
        <v>10</v>
      </c>
    </row>
    <row r="10" spans="1:29" ht="15.75" thickBot="1" x14ac:dyDescent="0.3">
      <c r="A10" s="58"/>
      <c r="B10" s="74" t="s">
        <v>7</v>
      </c>
      <c r="C10" s="16"/>
      <c r="D10" s="8">
        <v>0</v>
      </c>
      <c r="E10" s="72">
        <f>D10+C10</f>
        <v>0</v>
      </c>
      <c r="F10" s="62"/>
      <c r="G10" s="137"/>
      <c r="H10" s="26"/>
      <c r="I10" s="28"/>
      <c r="J10" s="142">
        <f t="shared" ref="J10:J13" si="0">I10*H10</f>
        <v>0</v>
      </c>
      <c r="K10" s="57"/>
      <c r="L10" s="298"/>
      <c r="M10" s="317"/>
      <c r="N10" s="304"/>
      <c r="O10" s="304"/>
      <c r="P10" s="300"/>
      <c r="Q10" s="302"/>
      <c r="R10" s="292"/>
      <c r="S10" s="293"/>
      <c r="T10" s="294"/>
      <c r="V10" s="705" t="s">
        <v>497</v>
      </c>
      <c r="W10" s="706"/>
      <c r="X10" s="692"/>
      <c r="Y10" s="699"/>
      <c r="Z10" s="703" t="s">
        <v>225</v>
      </c>
      <c r="AA10" s="704">
        <v>10</v>
      </c>
      <c r="AB10" s="686"/>
    </row>
    <row r="11" spans="1:29" ht="16.5" customHeight="1" thickTop="1" thickBot="1" x14ac:dyDescent="0.3">
      <c r="A11" s="58"/>
      <c r="B11" s="76" t="s">
        <v>9</v>
      </c>
      <c r="C11" s="17"/>
      <c r="D11" s="9">
        <v>0</v>
      </c>
      <c r="E11" s="73">
        <f>D11+C11</f>
        <v>0</v>
      </c>
      <c r="F11" s="62"/>
      <c r="G11" s="136"/>
      <c r="H11" s="30"/>
      <c r="I11" s="64"/>
      <c r="J11" s="126">
        <f t="shared" si="0"/>
        <v>0</v>
      </c>
      <c r="K11" s="57"/>
      <c r="L11" s="57"/>
      <c r="M11" s="57"/>
      <c r="N11" s="57"/>
      <c r="O11" s="57"/>
      <c r="P11" s="57"/>
      <c r="Q11" s="57"/>
      <c r="V11" s="702" t="s">
        <v>496</v>
      </c>
      <c r="W11" s="712"/>
      <c r="X11" s="714"/>
      <c r="Y11" s="715"/>
      <c r="Z11" s="709" t="s">
        <v>495</v>
      </c>
      <c r="AA11" s="711" t="s">
        <v>503</v>
      </c>
      <c r="AB11" s="688"/>
      <c r="AC11" s="687"/>
    </row>
    <row r="12" spans="1:29" ht="16.5" customHeight="1" thickTop="1" thickBot="1" x14ac:dyDescent="0.3">
      <c r="A12" s="58"/>
      <c r="B12" s="93" t="s">
        <v>104</v>
      </c>
      <c r="C12" s="94" t="s">
        <v>105</v>
      </c>
      <c r="D12" s="95" t="s">
        <v>160</v>
      </c>
      <c r="E12" s="96" t="s">
        <v>109</v>
      </c>
      <c r="F12" s="57"/>
      <c r="G12" s="190"/>
      <c r="H12" s="191"/>
      <c r="I12" s="192"/>
      <c r="J12" s="142">
        <f t="shared" si="0"/>
        <v>0</v>
      </c>
      <c r="K12" s="57"/>
      <c r="L12" s="57"/>
      <c r="M12" s="57"/>
      <c r="N12" s="57"/>
      <c r="O12" s="57"/>
      <c r="V12" s="707" t="s">
        <v>493</v>
      </c>
      <c r="W12" s="713"/>
      <c r="X12" s="716"/>
      <c r="Y12" s="701"/>
      <c r="Z12" s="708" t="s">
        <v>507</v>
      </c>
      <c r="AA12" s="710" t="s">
        <v>502</v>
      </c>
      <c r="AB12" s="687"/>
    </row>
    <row r="13" spans="1:29" ht="16.5" customHeight="1" thickTop="1" thickBot="1" x14ac:dyDescent="0.3">
      <c r="A13" s="58"/>
      <c r="B13" s="91" t="s">
        <v>110</v>
      </c>
      <c r="C13" s="14">
        <v>10</v>
      </c>
      <c r="D13" s="81">
        <f>(B3-1)*2+D8*3</f>
        <v>0</v>
      </c>
      <c r="E13" s="82">
        <f>D13+C13+E40</f>
        <v>10</v>
      </c>
      <c r="F13" s="57"/>
      <c r="G13" s="138"/>
      <c r="H13" s="27"/>
      <c r="I13" s="9"/>
      <c r="J13" s="126">
        <f t="shared" si="0"/>
        <v>0</v>
      </c>
      <c r="K13" s="57"/>
      <c r="L13" s="57"/>
      <c r="M13" s="57"/>
      <c r="N13" s="57"/>
      <c r="O13" s="57"/>
    </row>
    <row r="14" spans="1:29" ht="17.25" thickTop="1" thickBot="1" x14ac:dyDescent="0.3">
      <c r="A14" s="58"/>
      <c r="B14" s="75" t="s">
        <v>11</v>
      </c>
      <c r="C14" s="15">
        <v>10</v>
      </c>
      <c r="D14" s="83">
        <f>(B3-1)*0.8+D9</f>
        <v>0</v>
      </c>
      <c r="E14" s="84">
        <f>D14+C14+E41+C25</f>
        <v>10</v>
      </c>
      <c r="F14" s="57"/>
      <c r="G14" s="239" t="s">
        <v>146</v>
      </c>
      <c r="H14" s="240"/>
      <c r="I14" s="240"/>
      <c r="J14" s="241"/>
      <c r="K14" s="57"/>
      <c r="L14" s="239" t="s">
        <v>13</v>
      </c>
      <c r="M14" s="240"/>
      <c r="N14" s="241"/>
    </row>
    <row r="15" spans="1:29" ht="16.5" thickTop="1" thickBot="1" x14ac:dyDescent="0.3">
      <c r="A15" s="58"/>
      <c r="B15" s="74" t="s">
        <v>13</v>
      </c>
      <c r="C15" s="16">
        <v>1</v>
      </c>
      <c r="D15" s="85">
        <f>(B3*0.5-0.5)+D9*0.5</f>
        <v>0</v>
      </c>
      <c r="E15" s="86">
        <f>D15+C15+E42+D25*0.5</f>
        <v>1</v>
      </c>
      <c r="F15" s="62"/>
      <c r="G15" s="134" t="s">
        <v>120</v>
      </c>
      <c r="H15" s="139" t="s">
        <v>121</v>
      </c>
      <c r="I15" s="143" t="s">
        <v>125</v>
      </c>
      <c r="J15" s="144" t="s">
        <v>126</v>
      </c>
      <c r="K15" s="57"/>
      <c r="L15" s="174" t="s">
        <v>197</v>
      </c>
      <c r="M15" s="175" t="s">
        <v>198</v>
      </c>
      <c r="N15" s="175" t="s">
        <v>199</v>
      </c>
    </row>
    <row r="16" spans="1:29" ht="16.5" customHeight="1" thickTop="1" x14ac:dyDescent="0.25">
      <c r="B16" s="75" t="s">
        <v>167</v>
      </c>
      <c r="C16" s="15">
        <v>1</v>
      </c>
      <c r="D16" s="87">
        <f>(B3-1)*0.25+D11*0.25</f>
        <v>0</v>
      </c>
      <c r="E16" s="88">
        <f>ROUND(D16+C16+E43+E25*0.5,0)</f>
        <v>1</v>
      </c>
      <c r="F16" s="62"/>
      <c r="G16" s="112" t="s">
        <v>127</v>
      </c>
      <c r="H16" s="145">
        <v>20</v>
      </c>
      <c r="I16" s="310">
        <f>SUM(J8:J13)</f>
        <v>0</v>
      </c>
      <c r="J16" s="313">
        <f>H20-I16</f>
        <v>20</v>
      </c>
      <c r="K16" s="57"/>
      <c r="L16" s="281">
        <f>E15</f>
        <v>1</v>
      </c>
      <c r="M16" s="284">
        <f>SUM(Obl!W3:W24)</f>
        <v>0</v>
      </c>
      <c r="N16" s="286">
        <f>L16-M16</f>
        <v>1</v>
      </c>
    </row>
    <row r="17" spans="1:27" ht="16.5" customHeight="1" thickBot="1" x14ac:dyDescent="0.3">
      <c r="B17" s="92" t="s">
        <v>112</v>
      </c>
      <c r="C17" s="18">
        <v>30</v>
      </c>
      <c r="D17" s="89">
        <v>0</v>
      </c>
      <c r="E17" s="90">
        <f>C17+D17+E44+B27*5</f>
        <v>30</v>
      </c>
      <c r="F17" s="62"/>
      <c r="G17" s="113" t="s">
        <v>123</v>
      </c>
      <c r="H17" s="146">
        <f>IF(C43=FALSE,0,10)</f>
        <v>0</v>
      </c>
      <c r="I17" s="311"/>
      <c r="J17" s="314"/>
      <c r="K17" s="57"/>
      <c r="L17" s="282"/>
      <c r="M17" s="284"/>
      <c r="N17" s="287"/>
    </row>
    <row r="18" spans="1:27" ht="16.5" customHeight="1" thickTop="1" thickBot="1" x14ac:dyDescent="0.3">
      <c r="B18" s="69"/>
      <c r="C18" s="69"/>
      <c r="D18" s="69"/>
      <c r="E18" s="69"/>
      <c r="F18" s="62"/>
      <c r="G18" s="114" t="s">
        <v>122</v>
      </c>
      <c r="H18" s="147">
        <f>IF(C44=FALSE,0,10)</f>
        <v>0</v>
      </c>
      <c r="I18" s="311"/>
      <c r="J18" s="314"/>
      <c r="K18" s="57"/>
      <c r="L18" s="283"/>
      <c r="M18" s="285"/>
      <c r="N18" s="288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27" ht="16.5" customHeight="1" thickTop="1" thickBot="1" x14ac:dyDescent="0.3">
      <c r="B19" s="261" t="s">
        <v>113</v>
      </c>
      <c r="C19" s="262"/>
      <c r="D19" s="262"/>
      <c r="E19" s="263"/>
      <c r="F19" s="62"/>
      <c r="G19" s="113" t="s">
        <v>3</v>
      </c>
      <c r="H19" s="148">
        <f>E8*2</f>
        <v>0</v>
      </c>
      <c r="I19" s="311"/>
      <c r="J19" s="314"/>
      <c r="K19" s="65"/>
      <c r="L19" s="239" t="s">
        <v>183</v>
      </c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1"/>
    </row>
    <row r="20" spans="1:27" ht="16.5" customHeight="1" thickTop="1" thickBot="1" x14ac:dyDescent="0.3">
      <c r="A20" s="58"/>
      <c r="B20" s="318" t="s">
        <v>221</v>
      </c>
      <c r="C20" s="319"/>
      <c r="D20" s="202" t="s">
        <v>198</v>
      </c>
      <c r="E20" s="203" t="s">
        <v>199</v>
      </c>
      <c r="F20" s="62"/>
      <c r="G20" s="149" t="s">
        <v>124</v>
      </c>
      <c r="H20" s="150">
        <f>SUM(H16:H19)</f>
        <v>20</v>
      </c>
      <c r="I20" s="312"/>
      <c r="J20" s="315"/>
      <c r="K20" s="65"/>
      <c r="L20" s="221" t="str">
        <f>IF($E$16&gt;=1,Obl!Z2,"")</f>
        <v>Karta 1</v>
      </c>
      <c r="M20" s="222"/>
      <c r="N20" s="176" t="str">
        <f>IF($E$16&gt;=1,Obl!AB2,"")</f>
        <v>Użyta</v>
      </c>
      <c r="O20" s="54" t="b">
        <v>0</v>
      </c>
      <c r="P20" s="221" t="str">
        <f>IF($E$16&gt;=2,Obl!AD2,"")</f>
        <v/>
      </c>
      <c r="Q20" s="222"/>
      <c r="R20" s="176" t="str">
        <f>IF($E$16&gt;=2,Obl!AF2,"")</f>
        <v/>
      </c>
      <c r="S20" s="54" t="b">
        <v>0</v>
      </c>
      <c r="T20" s="221" t="str">
        <f>IF($E$16&gt;=3,Obl!AH2,"")</f>
        <v/>
      </c>
      <c r="U20" s="222"/>
      <c r="V20" s="176" t="str">
        <f>IF($E$16&gt;=3,Obl!AJ2,"")</f>
        <v/>
      </c>
      <c r="W20" s="54" t="b">
        <v>0</v>
      </c>
      <c r="X20" s="221" t="str">
        <f>IF($E$16&gt;=4,Obl!AL2,"")</f>
        <v/>
      </c>
      <c r="Y20" s="222"/>
      <c r="Z20" s="176" t="str">
        <f>IF($E$16&gt;=4,Obl!AN2,"")</f>
        <v/>
      </c>
      <c r="AA20" s="54" t="b">
        <v>0</v>
      </c>
    </row>
    <row r="21" spans="1:27" ht="16.5" customHeight="1" thickTop="1" thickBot="1" x14ac:dyDescent="0.3">
      <c r="B21" s="195" t="s">
        <v>114</v>
      </c>
      <c r="C21" s="194">
        <f>ROUND(E8/3+E9*2/3,0)</f>
        <v>0</v>
      </c>
      <c r="D21" s="198">
        <f>SUM(B25:E25)+SUM(B27:E27)</f>
        <v>0</v>
      </c>
      <c r="E21" s="201">
        <f>C21-D21</f>
        <v>0</v>
      </c>
      <c r="F21" s="57"/>
      <c r="G21" s="66"/>
      <c r="K21" s="57"/>
      <c r="L21" s="225" t="str">
        <f>IF($E$16&gt;=1,Obl!Z3,"")</f>
        <v>Wyrzucona kostka</v>
      </c>
      <c r="M21" s="226"/>
      <c r="N21" s="223"/>
      <c r="O21" s="224"/>
      <c r="P21" s="225" t="str">
        <f>IF($E$16&gt;=2,Obl!AD3,"")</f>
        <v/>
      </c>
      <c r="Q21" s="226"/>
      <c r="R21" s="223">
        <v>7</v>
      </c>
      <c r="S21" s="224"/>
      <c r="T21" s="225" t="str">
        <f>IF($E$16&gt;=3,Obl!AH3,"")</f>
        <v/>
      </c>
      <c r="U21" s="226"/>
      <c r="V21" s="223"/>
      <c r="W21" s="224"/>
      <c r="X21" s="225" t="str">
        <f>IF($E$16&gt;=4,Obl!AL3,"")</f>
        <v/>
      </c>
      <c r="Y21" s="226"/>
      <c r="Z21" s="223"/>
      <c r="AA21" s="224"/>
    </row>
    <row r="22" spans="1:27" ht="17.25" thickTop="1" thickBot="1" x14ac:dyDescent="0.3">
      <c r="B22" s="97" t="s">
        <v>115</v>
      </c>
      <c r="C22" s="193">
        <f>ROUND((E10*2/3+E11/3)*3,0)</f>
        <v>0</v>
      </c>
      <c r="D22" s="199">
        <v>0</v>
      </c>
      <c r="E22" s="200">
        <f>C22-D22</f>
        <v>0</v>
      </c>
      <c r="F22" s="57"/>
      <c r="G22" s="239" t="s">
        <v>143</v>
      </c>
      <c r="H22" s="240"/>
      <c r="I22" s="240"/>
      <c r="J22" s="241"/>
      <c r="K22" s="57"/>
      <c r="L22" s="233" t="str">
        <f ca="1">IF($E$16&gt;=1,Obl!Z4,"")</f>
        <v>Prosty</v>
      </c>
      <c r="M22" s="234"/>
      <c r="N22" s="234"/>
      <c r="O22" s="235"/>
      <c r="P22" s="233" t="str">
        <f>IF($E$16&gt;=2,Obl!AD4,"")</f>
        <v/>
      </c>
      <c r="Q22" s="234"/>
      <c r="R22" s="234"/>
      <c r="S22" s="235"/>
      <c r="T22" s="233" t="str">
        <f>IF($E$16&gt;=3,Obl!AH4,"")</f>
        <v/>
      </c>
      <c r="U22" s="234"/>
      <c r="V22" s="234"/>
      <c r="W22" s="235"/>
      <c r="X22" s="233" t="str">
        <f>IF($E$16&gt;=3,Obl!AL4,"")</f>
        <v/>
      </c>
      <c r="Y22" s="234"/>
      <c r="Z22" s="234"/>
      <c r="AA22" s="235"/>
    </row>
    <row r="23" spans="1:27" ht="17.25" thickTop="1" thickBot="1" x14ac:dyDescent="0.3">
      <c r="A23" s="58"/>
      <c r="B23" s="261" t="s">
        <v>218</v>
      </c>
      <c r="C23" s="262"/>
      <c r="D23" s="262"/>
      <c r="E23" s="263"/>
      <c r="F23" s="65"/>
      <c r="G23" s="134" t="s">
        <v>216</v>
      </c>
      <c r="H23" s="155" t="s">
        <v>8</v>
      </c>
      <c r="I23" s="156" t="s">
        <v>118</v>
      </c>
      <c r="J23" s="80" t="s">
        <v>119</v>
      </c>
      <c r="K23" s="57"/>
      <c r="L23" s="227" t="str">
        <f ca="1">IF($E$16&gt;=1,Obl!Z6,"")</f>
        <v>Zwykły, chamski atak</v>
      </c>
      <c r="M23" s="228"/>
      <c r="N23" s="228"/>
      <c r="O23" s="229"/>
      <c r="P23" s="227" t="str">
        <f>IF($E$16&gt;=2,Obl!AD6,"")</f>
        <v/>
      </c>
      <c r="Q23" s="228"/>
      <c r="R23" s="228"/>
      <c r="S23" s="229"/>
      <c r="T23" s="227" t="str">
        <f>IF($E$16&gt;=3,Obl!AH6,"")</f>
        <v/>
      </c>
      <c r="U23" s="228"/>
      <c r="V23" s="228"/>
      <c r="W23" s="229"/>
      <c r="X23" s="227" t="str">
        <f>IF($E$16&gt;=4,Obl!AL6,"")</f>
        <v/>
      </c>
      <c r="Y23" s="228"/>
      <c r="Z23" s="228"/>
      <c r="AA23" s="229"/>
    </row>
    <row r="24" spans="1:27" ht="16.5" thickTop="1" thickBot="1" x14ac:dyDescent="0.3">
      <c r="A24" s="58"/>
      <c r="B24" s="204" t="s">
        <v>220</v>
      </c>
      <c r="C24" s="205" t="s">
        <v>11</v>
      </c>
      <c r="D24" s="205" t="s">
        <v>13</v>
      </c>
      <c r="E24" s="206" t="s">
        <v>167</v>
      </c>
      <c r="F24" s="57"/>
      <c r="G24" s="41"/>
      <c r="H24" s="31"/>
      <c r="I24" s="32"/>
      <c r="J24" s="70">
        <f>I24*H24</f>
        <v>0</v>
      </c>
      <c r="K24" s="57"/>
      <c r="L24" s="230"/>
      <c r="M24" s="231"/>
      <c r="N24" s="231"/>
      <c r="O24" s="232"/>
      <c r="P24" s="230"/>
      <c r="Q24" s="231"/>
      <c r="R24" s="231"/>
      <c r="S24" s="232"/>
      <c r="T24" s="230"/>
      <c r="U24" s="231"/>
      <c r="V24" s="231"/>
      <c r="W24" s="232"/>
      <c r="X24" s="230"/>
      <c r="Y24" s="231"/>
      <c r="Z24" s="231"/>
      <c r="AA24" s="232"/>
    </row>
    <row r="25" spans="1:27" ht="16.5" customHeight="1" thickBot="1" x14ac:dyDescent="0.3">
      <c r="A25" s="58"/>
      <c r="B25" s="210"/>
      <c r="C25" s="211"/>
      <c r="D25" s="212"/>
      <c r="E25" s="213"/>
      <c r="F25" s="57"/>
      <c r="G25" s="42"/>
      <c r="H25" s="33"/>
      <c r="I25" s="34"/>
      <c r="J25" s="71">
        <f t="shared" ref="J25:J43" si="1">I25*H25</f>
        <v>0</v>
      </c>
      <c r="K25" s="57"/>
      <c r="L25" s="230"/>
      <c r="M25" s="231"/>
      <c r="N25" s="231"/>
      <c r="O25" s="232"/>
      <c r="P25" s="230"/>
      <c r="Q25" s="231"/>
      <c r="R25" s="231"/>
      <c r="S25" s="232"/>
      <c r="T25" s="230"/>
      <c r="U25" s="231"/>
      <c r="V25" s="231"/>
      <c r="W25" s="232"/>
      <c r="X25" s="230"/>
      <c r="Y25" s="231"/>
      <c r="Z25" s="231"/>
      <c r="AA25" s="232"/>
    </row>
    <row r="26" spans="1:27" ht="16.5" thickTop="1" thickBot="1" x14ac:dyDescent="0.3">
      <c r="A26" s="58"/>
      <c r="B26" s="207" t="s">
        <v>217</v>
      </c>
      <c r="C26" s="208" t="s">
        <v>219</v>
      </c>
      <c r="D26" s="208" t="s">
        <v>222</v>
      </c>
      <c r="E26" s="209" t="s">
        <v>223</v>
      </c>
      <c r="F26" s="57"/>
      <c r="G26" s="43"/>
      <c r="H26" s="35"/>
      <c r="I26" s="36"/>
      <c r="J26" s="72">
        <f t="shared" si="1"/>
        <v>0</v>
      </c>
      <c r="K26" s="57"/>
      <c r="L26" s="230"/>
      <c r="M26" s="231"/>
      <c r="N26" s="231"/>
      <c r="O26" s="232"/>
      <c r="P26" s="230"/>
      <c r="Q26" s="231"/>
      <c r="R26" s="231"/>
      <c r="S26" s="232"/>
      <c r="T26" s="230"/>
      <c r="U26" s="231"/>
      <c r="V26" s="231"/>
      <c r="W26" s="232"/>
      <c r="X26" s="230"/>
      <c r="Y26" s="231"/>
      <c r="Z26" s="231"/>
      <c r="AA26" s="232"/>
    </row>
    <row r="27" spans="1:27" ht="16.5" customHeight="1" thickBot="1" x14ac:dyDescent="0.3">
      <c r="A27" s="58"/>
      <c r="B27" s="214"/>
      <c r="C27" s="215"/>
      <c r="D27" s="216"/>
      <c r="E27" s="217"/>
      <c r="F27" s="57"/>
      <c r="G27" s="44"/>
      <c r="H27" s="33"/>
      <c r="I27" s="34"/>
      <c r="J27" s="71">
        <f t="shared" si="1"/>
        <v>0</v>
      </c>
      <c r="K27" s="57"/>
      <c r="L27" s="177" t="str">
        <f>IF($E$16&gt;=1,Obl!Z10,"")</f>
        <v>Dmg</v>
      </c>
      <c r="M27" s="178" t="str">
        <f ca="1">IF($E$16&gt;=1,Obl!AA10,"")</f>
        <v>str</v>
      </c>
      <c r="N27" s="179" t="str">
        <f>IF($E$16&gt;=1,Obl!AB10,"")</f>
        <v>Akcja</v>
      </c>
      <c r="O27" s="180">
        <f ca="1">IF($E$16&gt;=1,Obl!AC10,"")</f>
        <v>0.5</v>
      </c>
      <c r="P27" s="177" t="str">
        <f>IF($E$16&gt;=2,Obl!AD10,"")</f>
        <v/>
      </c>
      <c r="Q27" s="178" t="str">
        <f>IF($E$16&gt;=2,Obl!AE10,"")</f>
        <v/>
      </c>
      <c r="R27" s="179" t="str">
        <f>IF($E$16&gt;=2,Obl!AF10,"")</f>
        <v/>
      </c>
      <c r="S27" s="180" t="str">
        <f>IF($E$16&gt;=2,Obl!AG10,"")</f>
        <v/>
      </c>
      <c r="T27" s="177" t="str">
        <f>IF($E$16&gt;=3,Obl!AH10,"")</f>
        <v/>
      </c>
      <c r="U27" s="178" t="str">
        <f>IF($E$16&gt;=3,Obl!AI10,"")</f>
        <v/>
      </c>
      <c r="V27" s="179" t="str">
        <f>IF($E$16&gt;=3,Obl!AJ10,"")</f>
        <v/>
      </c>
      <c r="W27" s="180" t="str">
        <f>IF($E$16&gt;=3,Obl!AK10,"")</f>
        <v/>
      </c>
      <c r="X27" s="177" t="str">
        <f>IF($E$16&gt;=4,Obl!AL10,"")</f>
        <v/>
      </c>
      <c r="Y27" s="178" t="str">
        <f>IF($E$16&gt;=4,Obl!AM10,"")</f>
        <v/>
      </c>
      <c r="Z27" s="179" t="str">
        <f>IF($E$16&gt;=4,Obl!AN10,"")</f>
        <v/>
      </c>
      <c r="AA27" s="180" t="str">
        <f>IF($E$16&gt;=4,Obl!AO10,"")</f>
        <v/>
      </c>
    </row>
    <row r="28" spans="1:27" ht="16.5" customHeight="1" thickTop="1" thickBot="1" x14ac:dyDescent="0.3">
      <c r="F28" s="57"/>
      <c r="G28" s="43"/>
      <c r="H28" s="35"/>
      <c r="I28" s="36"/>
      <c r="J28" s="72">
        <f t="shared" si="1"/>
        <v>0</v>
      </c>
      <c r="K28" s="57"/>
      <c r="L28" s="181" t="str">
        <f>IF($E$16&gt;=1,Obl!Z11,"")</f>
        <v>Trafienie</v>
      </c>
      <c r="M28" s="182" t="str">
        <f ca="1">IF($E$16&gt;=1,Obl!AA11,"")</f>
        <v>d20+dex</v>
      </c>
      <c r="N28" s="183" t="str">
        <f>IF($E$16&gt;=1,Obl!AB11,"")</f>
        <v>Ilośc celów</v>
      </c>
      <c r="O28" s="184">
        <f ca="1">IF($E$16&gt;=1,Obl!AC11,"")</f>
        <v>1</v>
      </c>
      <c r="P28" s="181" t="str">
        <f>IF($E$16&gt;=2,Obl!AD11,"")</f>
        <v/>
      </c>
      <c r="Q28" s="182" t="str">
        <f>IF($E$16&gt;=2,Obl!AE11,"")</f>
        <v/>
      </c>
      <c r="R28" s="183" t="str">
        <f>IF($E$16&gt;=2,Obl!AF11,"")</f>
        <v/>
      </c>
      <c r="S28" s="184" t="str">
        <f>IF($E$16&gt;=2,Obl!AG11,"")</f>
        <v/>
      </c>
      <c r="T28" s="181" t="str">
        <f>IF($E$16&gt;=3,Obl!AH11,"")</f>
        <v/>
      </c>
      <c r="U28" s="182" t="str">
        <f>IF($E$16&gt;=3,Obl!AI11,"")</f>
        <v/>
      </c>
      <c r="V28" s="183" t="str">
        <f>IF($E$16&gt;=3,Obl!AJ11,"")</f>
        <v/>
      </c>
      <c r="W28" s="184" t="str">
        <f>IF($E$16&gt;=3,Obl!AK11,"")</f>
        <v/>
      </c>
      <c r="X28" s="181" t="str">
        <f>IF($E$16&gt;=4,Obl!AL11,"")</f>
        <v/>
      </c>
      <c r="Y28" s="182" t="str">
        <f>IF($E$16&gt;=4,Obl!AM11,"")</f>
        <v/>
      </c>
      <c r="Z28" s="183" t="str">
        <f>IF($E$16&gt;=4,Obl!AN11,"")</f>
        <v/>
      </c>
      <c r="AA28" s="184" t="str">
        <f>IF($E$16&gt;=4,Obl!AO11,"")</f>
        <v/>
      </c>
    </row>
    <row r="29" spans="1:27" ht="17.25" thickTop="1" thickBot="1" x14ac:dyDescent="0.3">
      <c r="B29" s="239" t="s">
        <v>29</v>
      </c>
      <c r="C29" s="240"/>
      <c r="D29" s="240"/>
      <c r="E29" s="241"/>
      <c r="F29" s="57"/>
      <c r="G29" s="44"/>
      <c r="H29" s="33"/>
      <c r="I29" s="34"/>
      <c r="J29" s="71">
        <f t="shared" si="1"/>
        <v>0</v>
      </c>
      <c r="K29" s="57"/>
      <c r="L29" s="185" t="str">
        <f>IF($E$16&gt;=1,Obl!Z12,"")</f>
        <v>Zasięg</v>
      </c>
      <c r="M29" s="186" t="str">
        <f ca="1">IF($E$16&gt;=1,Obl!AA12,"")</f>
        <v>Mele</v>
      </c>
      <c r="N29" s="187" t="str">
        <f>IF($E$16&gt;=1,Obl!AB12,"")</f>
        <v>Tura</v>
      </c>
      <c r="O29" s="188" t="str">
        <f ca="1">IF($E$16&gt;=1,Obl!AC12,"")</f>
        <v>Gracza</v>
      </c>
      <c r="P29" s="185" t="str">
        <f>IF($E$16&gt;=2,Obl!AD12,"")</f>
        <v/>
      </c>
      <c r="Q29" s="186" t="str">
        <f>IF($E$16&gt;=2,Obl!AE12,"")</f>
        <v/>
      </c>
      <c r="R29" s="187" t="str">
        <f>IF($E$16&gt;=2,Obl!AF12,"")</f>
        <v/>
      </c>
      <c r="S29" s="188" t="str">
        <f>IF($E$16&gt;=2,Obl!AG12,"")</f>
        <v/>
      </c>
      <c r="T29" s="185" t="str">
        <f>IF($E$16&gt;=3,Obl!AH12,"")</f>
        <v/>
      </c>
      <c r="U29" s="186" t="str">
        <f>IF($E$16&gt;=3,Obl!AI12,"")</f>
        <v/>
      </c>
      <c r="V29" s="187" t="str">
        <f>IF($E$16&gt;=3,Obl!AJ12,"")</f>
        <v/>
      </c>
      <c r="W29" s="188" t="str">
        <f>IF($E$16&gt;=3,Obl!AK12,"")</f>
        <v/>
      </c>
      <c r="X29" s="185" t="str">
        <f>IF($E$16&gt;=4,Obl!AL12,"")</f>
        <v/>
      </c>
      <c r="Y29" s="186" t="str">
        <f>IF($E$16&gt;=4,Obl!AM12,"")</f>
        <v/>
      </c>
      <c r="Z29" s="187" t="str">
        <f>IF($E$16&gt;=4,Obl!AN12,"")</f>
        <v/>
      </c>
      <c r="AA29" s="188" t="str">
        <f>IF($E$16&gt;=4,Obl!AO12,"")</f>
        <v/>
      </c>
    </row>
    <row r="30" spans="1:27" ht="16.5" thickTop="1" thickBot="1" x14ac:dyDescent="0.3">
      <c r="B30" s="116" t="s">
        <v>1</v>
      </c>
      <c r="C30" s="117" t="s">
        <v>8</v>
      </c>
      <c r="D30" s="118" t="s">
        <v>130</v>
      </c>
      <c r="E30" s="101" t="s">
        <v>119</v>
      </c>
      <c r="F30" s="57"/>
      <c r="G30" s="43"/>
      <c r="H30" s="35"/>
      <c r="I30" s="36"/>
      <c r="J30" s="72">
        <f t="shared" si="1"/>
        <v>0</v>
      </c>
      <c r="K30" s="67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17.25" thickTop="1" thickBot="1" x14ac:dyDescent="0.3">
      <c r="B31" s="112" t="s">
        <v>30</v>
      </c>
      <c r="C31" s="10">
        <v>0</v>
      </c>
      <c r="D31" s="104">
        <v>8</v>
      </c>
      <c r="E31" s="105">
        <f>D31*C31</f>
        <v>0</v>
      </c>
      <c r="F31" s="57"/>
      <c r="G31" s="44"/>
      <c r="H31" s="33"/>
      <c r="I31" s="34"/>
      <c r="J31" s="151">
        <f t="shared" si="1"/>
        <v>0</v>
      </c>
      <c r="K31" s="57"/>
      <c r="L31" s="239" t="s">
        <v>184</v>
      </c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1"/>
    </row>
    <row r="32" spans="1:27" ht="16.5" thickTop="1" thickBot="1" x14ac:dyDescent="0.3">
      <c r="B32" s="113" t="s">
        <v>31</v>
      </c>
      <c r="C32" s="11">
        <v>0</v>
      </c>
      <c r="D32" s="106">
        <v>6</v>
      </c>
      <c r="E32" s="107">
        <f>D32*C32</f>
        <v>0</v>
      </c>
      <c r="F32" s="57"/>
      <c r="G32" s="43"/>
      <c r="H32" s="35"/>
      <c r="I32" s="36"/>
      <c r="J32" s="70">
        <f t="shared" si="1"/>
        <v>0</v>
      </c>
      <c r="K32" s="65"/>
      <c r="L32" s="221" t="str">
        <f>IF($E$16&gt;=1,Obl!Z15,"")</f>
        <v>Karta 1</v>
      </c>
      <c r="M32" s="222"/>
      <c r="N32" s="176" t="str">
        <f>IF($E$16&gt;=1,Obl!AB15,"")</f>
        <v>Użyta</v>
      </c>
      <c r="O32" s="54" t="b">
        <v>0</v>
      </c>
      <c r="P32" s="221" t="str">
        <f>IF($E$16&gt;=2,Obl!AD15,"")</f>
        <v/>
      </c>
      <c r="Q32" s="222"/>
      <c r="R32" s="176" t="str">
        <f>IF($E$16&gt;=2,Obl!AF15,"")</f>
        <v/>
      </c>
      <c r="S32" s="54" t="b">
        <v>0</v>
      </c>
      <c r="T32" s="221" t="str">
        <f>IF($E$16&gt;=3,Obl!AH15,"")</f>
        <v/>
      </c>
      <c r="U32" s="222"/>
      <c r="V32" s="176" t="str">
        <f>IF($E$16&gt;=3,Obl!AJ15,"")</f>
        <v/>
      </c>
      <c r="W32" s="54" t="b">
        <v>0</v>
      </c>
      <c r="X32" s="221" t="str">
        <f>IF($E$16&gt;=4,Obl!AL15,"")</f>
        <v/>
      </c>
      <c r="Y32" s="222"/>
      <c r="Z32" s="176" t="str">
        <f>IF($E$16&gt;=4,Obl!AN15,"")</f>
        <v/>
      </c>
      <c r="AA32" s="54" t="b">
        <v>0</v>
      </c>
    </row>
    <row r="33" spans="2:27" ht="16.5" thickTop="1" thickBot="1" x14ac:dyDescent="0.3">
      <c r="B33" s="114" t="s">
        <v>131</v>
      </c>
      <c r="C33" s="12">
        <v>0</v>
      </c>
      <c r="D33" s="108">
        <v>4</v>
      </c>
      <c r="E33" s="109">
        <f>D33*C33</f>
        <v>0</v>
      </c>
      <c r="F33" s="57"/>
      <c r="G33" s="44"/>
      <c r="H33" s="33"/>
      <c r="I33" s="34"/>
      <c r="J33" s="71">
        <f t="shared" si="1"/>
        <v>0</v>
      </c>
      <c r="K33" s="65"/>
      <c r="L33" s="225" t="str">
        <f>IF($E$16&gt;=1,Obl!Z16,"")</f>
        <v>Wyrzucona kostka</v>
      </c>
      <c r="M33" s="226"/>
      <c r="N33" s="223"/>
      <c r="O33" s="224"/>
      <c r="P33" s="225" t="str">
        <f>IF($E$16&gt;=2,Obl!AD16,"")</f>
        <v/>
      </c>
      <c r="Q33" s="226"/>
      <c r="R33" s="223"/>
      <c r="S33" s="224"/>
      <c r="T33" s="225" t="str">
        <f>IF($E$16&gt;=3,Obl!AH16,"")</f>
        <v/>
      </c>
      <c r="U33" s="226"/>
      <c r="V33" s="223"/>
      <c r="W33" s="224"/>
      <c r="X33" s="225" t="str">
        <f>IF($E$16&gt;=4,Obl!AL16,"")</f>
        <v/>
      </c>
      <c r="Y33" s="226"/>
      <c r="Z33" s="223"/>
      <c r="AA33" s="224"/>
    </row>
    <row r="34" spans="2:27" ht="15.75" customHeight="1" thickTop="1" thickBot="1" x14ac:dyDescent="0.3">
      <c r="B34" s="115" t="s">
        <v>132</v>
      </c>
      <c r="C34" s="13">
        <v>0</v>
      </c>
      <c r="D34" s="110">
        <v>4</v>
      </c>
      <c r="E34" s="111">
        <f t="shared" ref="E34" si="2">D34*C34</f>
        <v>0</v>
      </c>
      <c r="F34" s="57"/>
      <c r="G34" s="43"/>
      <c r="H34" s="35"/>
      <c r="I34" s="36"/>
      <c r="J34" s="72">
        <f t="shared" si="1"/>
        <v>0</v>
      </c>
      <c r="K34" s="57"/>
      <c r="L34" s="233" t="str">
        <f ca="1">IF($E$16&gt;=1,Obl!Z17,"")</f>
        <v>Prosty</v>
      </c>
      <c r="M34" s="234"/>
      <c r="N34" s="234"/>
      <c r="O34" s="235"/>
      <c r="P34" s="233" t="str">
        <f>IF($E$16&gt;=2,Obl!AD17,"")</f>
        <v/>
      </c>
      <c r="Q34" s="234"/>
      <c r="R34" s="234"/>
      <c r="S34" s="235"/>
      <c r="T34" s="233" t="str">
        <f>IF($E$16&gt;=3,Obl!AH17,"")</f>
        <v/>
      </c>
      <c r="U34" s="234"/>
      <c r="V34" s="234"/>
      <c r="W34" s="235"/>
      <c r="X34" s="233" t="str">
        <f>IF($E$16&gt;=4,Obl!AL17,"")</f>
        <v/>
      </c>
      <c r="Y34" s="234"/>
      <c r="Z34" s="234"/>
      <c r="AA34" s="235"/>
    </row>
    <row r="35" spans="2:27" ht="15" customHeight="1" thickTop="1" thickBot="1" x14ac:dyDescent="0.3">
      <c r="B35" s="239" t="s">
        <v>126</v>
      </c>
      <c r="C35" s="240"/>
      <c r="D35" s="240"/>
      <c r="E35" s="241"/>
      <c r="F35" s="57"/>
      <c r="G35" s="44"/>
      <c r="H35" s="33"/>
      <c r="I35" s="34"/>
      <c r="J35" s="151">
        <f t="shared" si="1"/>
        <v>0</v>
      </c>
      <c r="K35" s="57"/>
      <c r="L35" s="227" t="str">
        <f ca="1">IF($E$16&gt;=1,Obl!Z18,"")</f>
        <v>Zwykły, chamski atak</v>
      </c>
      <c r="M35" s="228"/>
      <c r="N35" s="228"/>
      <c r="O35" s="229"/>
      <c r="P35" s="227" t="str">
        <f>IF($E$16&gt;=2,Obl!AD18,"")</f>
        <v/>
      </c>
      <c r="Q35" s="228"/>
      <c r="R35" s="228"/>
      <c r="S35" s="229"/>
      <c r="T35" s="227" t="str">
        <f>IF($E$16&gt;=3,Obl!AH18,"")</f>
        <v/>
      </c>
      <c r="U35" s="228"/>
      <c r="V35" s="228"/>
      <c r="W35" s="229"/>
      <c r="X35" s="227" t="str">
        <f>IF($E$16&gt;=4,Obl!AL18,"")</f>
        <v/>
      </c>
      <c r="Y35" s="228"/>
      <c r="Z35" s="228"/>
      <c r="AA35" s="229"/>
    </row>
    <row r="36" spans="2:27" ht="15" customHeight="1" thickTop="1" thickBot="1" x14ac:dyDescent="0.3">
      <c r="B36" s="98" t="s">
        <v>134</v>
      </c>
      <c r="C36" s="99" t="s">
        <v>133</v>
      </c>
      <c r="D36" s="100" t="s">
        <v>135</v>
      </c>
      <c r="E36" s="101"/>
      <c r="F36" s="57"/>
      <c r="G36" s="43"/>
      <c r="H36" s="35"/>
      <c r="I36" s="36"/>
      <c r="J36" s="152">
        <f t="shared" si="1"/>
        <v>0</v>
      </c>
      <c r="K36" s="57"/>
      <c r="L36" s="230"/>
      <c r="M36" s="231"/>
      <c r="N36" s="231"/>
      <c r="O36" s="232"/>
      <c r="P36" s="230"/>
      <c r="Q36" s="231"/>
      <c r="R36" s="231"/>
      <c r="S36" s="232"/>
      <c r="T36" s="230"/>
      <c r="U36" s="231"/>
      <c r="V36" s="231"/>
      <c r="W36" s="232"/>
      <c r="X36" s="230"/>
      <c r="Y36" s="231"/>
      <c r="Z36" s="231"/>
      <c r="AA36" s="232"/>
    </row>
    <row r="37" spans="2:27" ht="15.75" customHeight="1" thickTop="1" thickBot="1" x14ac:dyDescent="0.3">
      <c r="B37" s="102">
        <v>24</v>
      </c>
      <c r="C37" s="103">
        <f>SUM(E31:E34)</f>
        <v>0</v>
      </c>
      <c r="D37" s="332">
        <f>B37-C37</f>
        <v>24</v>
      </c>
      <c r="E37" s="333"/>
      <c r="F37" s="57"/>
      <c r="G37" s="44"/>
      <c r="H37" s="33"/>
      <c r="I37" s="34"/>
      <c r="J37" s="151">
        <f t="shared" si="1"/>
        <v>0</v>
      </c>
      <c r="K37" s="57"/>
      <c r="L37" s="230"/>
      <c r="M37" s="231"/>
      <c r="N37" s="231"/>
      <c r="O37" s="232"/>
      <c r="P37" s="230"/>
      <c r="Q37" s="231"/>
      <c r="R37" s="231"/>
      <c r="S37" s="232"/>
      <c r="T37" s="230"/>
      <c r="U37" s="231"/>
      <c r="V37" s="231"/>
      <c r="W37" s="232"/>
      <c r="X37" s="230"/>
      <c r="Y37" s="231"/>
      <c r="Z37" s="231"/>
      <c r="AA37" s="232"/>
    </row>
    <row r="38" spans="2:27" ht="15.75" customHeight="1" thickTop="1" thickBot="1" x14ac:dyDescent="0.3">
      <c r="D38" s="69"/>
      <c r="E38" s="69"/>
      <c r="F38" s="57"/>
      <c r="G38" s="43"/>
      <c r="H38" s="35"/>
      <c r="I38" s="36"/>
      <c r="J38" s="152">
        <f t="shared" si="1"/>
        <v>0</v>
      </c>
      <c r="K38" s="57"/>
      <c r="L38" s="230"/>
      <c r="M38" s="231"/>
      <c r="N38" s="231"/>
      <c r="O38" s="232"/>
      <c r="P38" s="230"/>
      <c r="Q38" s="231"/>
      <c r="R38" s="231"/>
      <c r="S38" s="232"/>
      <c r="T38" s="230"/>
      <c r="U38" s="231"/>
      <c r="V38" s="231"/>
      <c r="W38" s="232"/>
      <c r="X38" s="230"/>
      <c r="Y38" s="231"/>
      <c r="Z38" s="231"/>
      <c r="AA38" s="232"/>
    </row>
    <row r="39" spans="2:27" ht="17.25" thickTop="1" thickBot="1" x14ac:dyDescent="0.3">
      <c r="B39" s="330" t="s">
        <v>117</v>
      </c>
      <c r="C39" s="331"/>
      <c r="D39" s="273" t="s">
        <v>141</v>
      </c>
      <c r="E39" s="274"/>
      <c r="F39" s="57"/>
      <c r="G39" s="44"/>
      <c r="H39" s="33"/>
      <c r="I39" s="34"/>
      <c r="J39" s="151">
        <f t="shared" si="1"/>
        <v>0</v>
      </c>
      <c r="K39" s="57"/>
      <c r="L39" s="177" t="str">
        <f>IF($E$16&gt;=1,Obl!Z22,"")</f>
        <v>Dmg</v>
      </c>
      <c r="M39" s="178" t="str">
        <f ca="1">IF($E$16&gt;=1,Obl!AA22,"")</f>
        <v>str</v>
      </c>
      <c r="N39" s="179" t="str">
        <f>IF($E$16&gt;=1,Obl!AB22,"")</f>
        <v>Akcja</v>
      </c>
      <c r="O39" s="180">
        <f ca="1">IF($E$16&gt;=1,Obl!AC22,"")</f>
        <v>0.5</v>
      </c>
      <c r="P39" s="177" t="str">
        <f>IF($E$16&gt;=2,Obl!AD22,"")</f>
        <v/>
      </c>
      <c r="Q39" s="178" t="str">
        <f>IF($E$16&gt;=2,Obl!AE22,"")</f>
        <v/>
      </c>
      <c r="R39" s="179" t="str">
        <f>IF($E$16&gt;=2,Obl!AF22,"")</f>
        <v/>
      </c>
      <c r="S39" s="180" t="str">
        <f>IF($E$16&gt;=2,Obl!AG22,"")</f>
        <v/>
      </c>
      <c r="T39" s="177" t="str">
        <f>IF($E$16&gt;=3,Obl!AH22,"")</f>
        <v/>
      </c>
      <c r="U39" s="178" t="str">
        <f>IF($E$16&gt;=3,Obl!AI22,"")</f>
        <v/>
      </c>
      <c r="V39" s="179" t="str">
        <f>IF($E$16&gt;=3,Obl!AJ22,"")</f>
        <v/>
      </c>
      <c r="W39" s="180" t="str">
        <f>IF($E$16&gt;=3,Obl!AK22,"")</f>
        <v/>
      </c>
      <c r="X39" s="177" t="str">
        <f>IF($E$16&gt;=4,Obl!AL22,"")</f>
        <v/>
      </c>
      <c r="Y39" s="178" t="str">
        <f>IF($E$16&gt;=4,Obl!AM22,"")</f>
        <v/>
      </c>
      <c r="Z39" s="179" t="str">
        <f>IF($E$16&gt;=4,Obl!AN22,"")</f>
        <v/>
      </c>
      <c r="AA39" s="180" t="str">
        <f>IF($E$16&gt;=4,Obl!AO22,"")</f>
        <v/>
      </c>
    </row>
    <row r="40" spans="2:27" ht="15.75" thickTop="1" x14ac:dyDescent="0.25">
      <c r="B40" s="119" t="s">
        <v>214</v>
      </c>
      <c r="C40" s="19" t="b">
        <v>0</v>
      </c>
      <c r="D40" s="123" t="s">
        <v>211</v>
      </c>
      <c r="E40" s="124" cm="1">
        <f t="array" ref="E40">SUM(C31:C34*5)</f>
        <v>0</v>
      </c>
      <c r="F40" s="57"/>
      <c r="G40" s="43"/>
      <c r="H40" s="35"/>
      <c r="I40" s="36"/>
      <c r="J40" s="70">
        <f t="shared" si="1"/>
        <v>0</v>
      </c>
      <c r="K40" s="57"/>
      <c r="L40" s="181" t="str">
        <f>IF($E$16&gt;=1,Obl!Z23,"")</f>
        <v>Trafienie</v>
      </c>
      <c r="M40" s="182" t="str">
        <f ca="1">IF($E$16&gt;=1,Obl!AA23,"")</f>
        <v>d20+dex</v>
      </c>
      <c r="N40" s="183" t="str">
        <f>IF($E$16&gt;=1,Obl!AB23,"")</f>
        <v>Ilośc celów</v>
      </c>
      <c r="O40" s="184">
        <f ca="1">IF($E$16&gt;=1,Obl!AC23,"")</f>
        <v>1</v>
      </c>
      <c r="P40" s="181" t="str">
        <f>IF($E$16&gt;=2,Obl!AD23,"")</f>
        <v/>
      </c>
      <c r="Q40" s="182" t="str">
        <f>IF($E$16&gt;=2,Obl!AE23,"")</f>
        <v/>
      </c>
      <c r="R40" s="183" t="str">
        <f>IF($E$16&gt;=2,Obl!AF23,"")</f>
        <v/>
      </c>
      <c r="S40" s="184" t="str">
        <f>IF($E$16&gt;=2,Obl!AG23,"")</f>
        <v/>
      </c>
      <c r="T40" s="181" t="str">
        <f>IF($E$16&gt;=3,Obl!AH23,"")</f>
        <v/>
      </c>
      <c r="U40" s="182" t="str">
        <f>IF($E$16&gt;=3,Obl!AI23,"")</f>
        <v/>
      </c>
      <c r="V40" s="183" t="str">
        <f>IF($E$16&gt;=3,Obl!AJ23,"")</f>
        <v/>
      </c>
      <c r="W40" s="184" t="str">
        <f>IF($E$16&gt;=3,Obl!AK23,"")</f>
        <v/>
      </c>
      <c r="X40" s="181" t="str">
        <f>IF($E$16&gt;=4,Obl!AL23,"")</f>
        <v/>
      </c>
      <c r="Y40" s="182" t="str">
        <f>IF($E$16&gt;=4,Obl!AM23,"")</f>
        <v/>
      </c>
      <c r="Z40" s="183" t="str">
        <f>IF($E$16&gt;=4,Obl!AN23,"")</f>
        <v/>
      </c>
      <c r="AA40" s="184" t="str">
        <f>IF($E$16&gt;=4,Obl!AO23,"")</f>
        <v/>
      </c>
    </row>
    <row r="41" spans="2:27" ht="15.75" thickBot="1" x14ac:dyDescent="0.3">
      <c r="B41" s="120" t="s">
        <v>213</v>
      </c>
      <c r="C41" s="20" t="b">
        <v>0</v>
      </c>
      <c r="D41" s="125" t="s">
        <v>11</v>
      </c>
      <c r="E41" s="126">
        <f>(C32*-0.2+C33*-0.5+C34*-1)/(B3/2)</f>
        <v>0</v>
      </c>
      <c r="F41" s="57"/>
      <c r="G41" s="44"/>
      <c r="H41" s="33"/>
      <c r="I41" s="34"/>
      <c r="J41" s="71">
        <f t="shared" si="1"/>
        <v>0</v>
      </c>
      <c r="K41" s="57"/>
      <c r="L41" s="185" t="str">
        <f>IF($E$16&gt;=1,Obl!Z24,"")</f>
        <v>Zasięg</v>
      </c>
      <c r="M41" s="186" t="str">
        <f ca="1">IF($E$16&gt;=1,Obl!AA24,"")</f>
        <v>Mele</v>
      </c>
      <c r="N41" s="187" t="str">
        <f>IF($E$16&gt;=1,Obl!AB24,"")</f>
        <v>Tura</v>
      </c>
      <c r="O41" s="188" t="str">
        <f ca="1">IF($E$16&gt;=1,Obl!AC24,"")</f>
        <v>Gracza</v>
      </c>
      <c r="P41" s="185" t="str">
        <f>IF($E$16&gt;=2,Obl!AD24,"")</f>
        <v/>
      </c>
      <c r="Q41" s="186" t="str">
        <f>IF($E$16&gt;=2,Obl!AE24,"")</f>
        <v/>
      </c>
      <c r="R41" s="187" t="str">
        <f>IF($E$16&gt;=2,Obl!AF24,"")</f>
        <v/>
      </c>
      <c r="S41" s="188" t="str">
        <f>IF($E$16&gt;=2,Obl!AG24,"")</f>
        <v/>
      </c>
      <c r="T41" s="185" t="str">
        <f>IF($E$16&gt;=3,Obl!AH24,"")</f>
        <v/>
      </c>
      <c r="U41" s="186" t="str">
        <f>IF($E$16&gt;=3,Obl!AI24,"")</f>
        <v/>
      </c>
      <c r="V41" s="187" t="str">
        <f>IF($E$16&gt;=3,Obl!AJ24,"")</f>
        <v/>
      </c>
      <c r="W41" s="188" t="str">
        <f>IF($E$16&gt;=3,Obl!AK24,"")</f>
        <v/>
      </c>
      <c r="X41" s="185" t="str">
        <f>IF($E$16&gt;=4,Obl!AL24,"")</f>
        <v/>
      </c>
      <c r="Y41" s="186" t="str">
        <f>IF($E$16&gt;=4,Obl!AM24,"")</f>
        <v/>
      </c>
      <c r="Z41" s="187" t="str">
        <f>IF($E$16&gt;=4,Obl!AN24,"")</f>
        <v/>
      </c>
      <c r="AA41" s="188" t="str">
        <f>IF($E$16&gt;=4,Obl!AO24,"")</f>
        <v/>
      </c>
    </row>
    <row r="42" spans="2:27" ht="15.75" thickTop="1" x14ac:dyDescent="0.25">
      <c r="B42" s="121" t="s">
        <v>212</v>
      </c>
      <c r="C42" s="21" t="b">
        <v>0</v>
      </c>
      <c r="D42" s="127" t="s">
        <v>13</v>
      </c>
      <c r="E42" s="128">
        <f>(C32*-0.1+C33*-0.2+C34*-0.4)/(B3/2)</f>
        <v>0</v>
      </c>
      <c r="F42" s="57"/>
      <c r="G42" s="45"/>
      <c r="H42" s="37"/>
      <c r="I42" s="38"/>
      <c r="J42" s="153">
        <f t="shared" si="1"/>
        <v>0</v>
      </c>
      <c r="K42" s="57"/>
    </row>
    <row r="43" spans="2:27" ht="15.75" thickBot="1" x14ac:dyDescent="0.3">
      <c r="B43" s="120" t="s">
        <v>123</v>
      </c>
      <c r="C43" s="20" t="b">
        <v>0</v>
      </c>
      <c r="D43" s="125" t="s">
        <v>167</v>
      </c>
      <c r="E43" s="126">
        <f>(C32*-0.25+C33*-0.5+C34*-0.5)*B3/2</f>
        <v>0</v>
      </c>
      <c r="F43" s="57"/>
      <c r="G43" s="46"/>
      <c r="H43" s="39"/>
      <c r="I43" s="40"/>
      <c r="J43" s="154">
        <f t="shared" si="1"/>
        <v>0</v>
      </c>
      <c r="K43" s="57"/>
    </row>
    <row r="44" spans="2:27" ht="15.75" customHeight="1" thickTop="1" thickBot="1" x14ac:dyDescent="0.3">
      <c r="B44" s="122" t="s">
        <v>122</v>
      </c>
      <c r="C44" s="22" t="b">
        <v>0</v>
      </c>
      <c r="D44" s="129" t="s">
        <v>112</v>
      </c>
      <c r="E44" s="130">
        <f>C32*-1+C33*-1.5</f>
        <v>0</v>
      </c>
      <c r="F44" s="57"/>
      <c r="G44" s="327" t="s">
        <v>128</v>
      </c>
      <c r="H44" s="328"/>
      <c r="I44" s="328"/>
      <c r="J44" s="329"/>
      <c r="K44" s="57"/>
    </row>
    <row r="45" spans="2:27" ht="16.5" thickTop="1" thickBot="1" x14ac:dyDescent="0.3">
      <c r="F45" s="57"/>
      <c r="G45" s="134" t="s">
        <v>120</v>
      </c>
      <c r="H45" s="139" t="s">
        <v>121</v>
      </c>
      <c r="I45" s="157" t="s">
        <v>125</v>
      </c>
      <c r="J45" s="158" t="s">
        <v>126</v>
      </c>
      <c r="K45" s="67"/>
    </row>
    <row r="46" spans="2:27" ht="15" customHeight="1" thickTop="1" x14ac:dyDescent="0.25">
      <c r="F46" s="57"/>
      <c r="G46" s="112" t="s">
        <v>127</v>
      </c>
      <c r="H46" s="145">
        <v>10</v>
      </c>
      <c r="I46" s="337">
        <f>SUM(J24:J43)</f>
        <v>0</v>
      </c>
      <c r="J46" s="334">
        <f>H50-I46</f>
        <v>14</v>
      </c>
      <c r="K46" s="57"/>
    </row>
    <row r="47" spans="2:27" ht="15.75" customHeight="1" x14ac:dyDescent="0.25">
      <c r="F47" s="57"/>
      <c r="G47" s="113" t="s">
        <v>18</v>
      </c>
      <c r="H47" s="146">
        <f>IF(C40=FALSE,0,10)</f>
        <v>0</v>
      </c>
      <c r="I47" s="338"/>
      <c r="J47" s="335"/>
      <c r="K47" s="57"/>
    </row>
    <row r="48" spans="2:27" x14ac:dyDescent="0.25">
      <c r="F48" s="57"/>
      <c r="G48" s="114" t="s">
        <v>21</v>
      </c>
      <c r="H48" s="147">
        <f>IF(C41=FALSE,0,10)</f>
        <v>0</v>
      </c>
      <c r="I48" s="338"/>
      <c r="J48" s="335"/>
      <c r="K48" s="57"/>
    </row>
    <row r="49" spans="2:11" x14ac:dyDescent="0.25">
      <c r="F49" s="57"/>
      <c r="G49" s="113" t="s">
        <v>167</v>
      </c>
      <c r="H49" s="148">
        <f>E16*4</f>
        <v>4</v>
      </c>
      <c r="I49" s="338"/>
      <c r="J49" s="335"/>
      <c r="K49" s="57"/>
    </row>
    <row r="50" spans="2:11" ht="15.75" thickBot="1" x14ac:dyDescent="0.3">
      <c r="F50" s="57"/>
      <c r="G50" s="149" t="s">
        <v>124</v>
      </c>
      <c r="H50" s="150">
        <f>SUM(H46:H49)</f>
        <v>14</v>
      </c>
      <c r="I50" s="339"/>
      <c r="J50" s="336"/>
      <c r="K50" s="57"/>
    </row>
    <row r="51" spans="2:11" ht="16.5" thickTop="1" thickBot="1" x14ac:dyDescent="0.3">
      <c r="F51" s="57"/>
      <c r="K51" s="57"/>
    </row>
    <row r="52" spans="2:11" ht="17.25" thickTop="1" thickBot="1" x14ac:dyDescent="0.3">
      <c r="F52" s="57"/>
      <c r="G52" s="239" t="s">
        <v>145</v>
      </c>
      <c r="H52" s="240"/>
      <c r="I52" s="240"/>
      <c r="J52" s="241"/>
      <c r="K52" s="57"/>
    </row>
    <row r="53" spans="2:11" ht="15.75" thickTop="1" x14ac:dyDescent="0.25">
      <c r="F53" s="57"/>
      <c r="G53" s="159" t="s">
        <v>136</v>
      </c>
      <c r="H53" s="160" t="s">
        <v>8</v>
      </c>
      <c r="I53" s="161" t="s">
        <v>129</v>
      </c>
      <c r="J53" s="162" t="s">
        <v>126</v>
      </c>
      <c r="K53" s="57"/>
    </row>
    <row r="54" spans="2:11" x14ac:dyDescent="0.25">
      <c r="F54" s="57"/>
      <c r="G54" s="45"/>
      <c r="H54" s="47"/>
      <c r="I54" s="323">
        <f>IF(C42=FALSE,0,10)</f>
        <v>0</v>
      </c>
      <c r="J54" s="325">
        <f>I54-H54-H55-H56</f>
        <v>0</v>
      </c>
      <c r="K54" s="57"/>
    </row>
    <row r="55" spans="2:11" ht="16.5" customHeight="1" x14ac:dyDescent="0.25">
      <c r="F55" s="62"/>
      <c r="G55" s="48"/>
      <c r="H55" s="49"/>
      <c r="I55" s="323"/>
      <c r="J55" s="325"/>
      <c r="K55" s="57"/>
    </row>
    <row r="56" spans="2:11" ht="15.75" thickBot="1" x14ac:dyDescent="0.3">
      <c r="F56" s="62"/>
      <c r="G56" s="50"/>
      <c r="H56" s="51"/>
      <c r="I56" s="324"/>
      <c r="J56" s="326"/>
      <c r="K56" s="57"/>
    </row>
    <row r="57" spans="2:11" ht="16.5" thickTop="1" thickBot="1" x14ac:dyDescent="0.3">
      <c r="F57" s="57"/>
      <c r="G57" s="57"/>
      <c r="H57" s="57"/>
      <c r="I57" s="57"/>
      <c r="J57" s="57"/>
      <c r="K57" s="57"/>
    </row>
    <row r="58" spans="2:11" ht="17.25" thickTop="1" thickBot="1" x14ac:dyDescent="0.3">
      <c r="B58" s="57"/>
      <c r="C58" s="57"/>
      <c r="D58" s="57"/>
      <c r="E58" s="57"/>
      <c r="F58" s="57"/>
      <c r="G58" s="239" t="s">
        <v>144</v>
      </c>
      <c r="H58" s="240"/>
      <c r="I58" s="240"/>
      <c r="J58" s="241"/>
      <c r="K58" s="57"/>
    </row>
    <row r="59" spans="2:11" ht="16.5" thickTop="1" thickBot="1" x14ac:dyDescent="0.3">
      <c r="B59" s="57"/>
      <c r="C59" s="57"/>
      <c r="D59" s="57"/>
      <c r="E59" s="57"/>
      <c r="F59" s="57"/>
      <c r="G59" s="116" t="s">
        <v>137</v>
      </c>
      <c r="H59" s="117" t="s">
        <v>140</v>
      </c>
      <c r="I59" s="118" t="s">
        <v>139</v>
      </c>
      <c r="J59" s="101" t="s">
        <v>138</v>
      </c>
      <c r="K59" s="57"/>
    </row>
    <row r="60" spans="2:11" ht="16.5" thickTop="1" thickBot="1" x14ac:dyDescent="0.3">
      <c r="F60" s="57"/>
      <c r="G60" s="52"/>
      <c r="H60" s="53"/>
      <c r="I60" s="163">
        <v>20</v>
      </c>
      <c r="J60" s="130">
        <f>I60-H60</f>
        <v>20</v>
      </c>
      <c r="K60" s="57"/>
    </row>
    <row r="61" spans="2:11" ht="15.75" thickTop="1" x14ac:dyDescent="0.25">
      <c r="F61" s="57"/>
      <c r="K61" s="57"/>
    </row>
    <row r="62" spans="2:11" x14ac:dyDescent="0.25">
      <c r="F62" s="57"/>
      <c r="G62" s="57"/>
      <c r="H62" s="57"/>
      <c r="I62" s="57"/>
      <c r="J62" s="57"/>
      <c r="K62" s="57"/>
    </row>
    <row r="63" spans="2:11" x14ac:dyDescent="0.25">
      <c r="F63" s="57"/>
      <c r="G63" s="57"/>
      <c r="H63" s="57"/>
      <c r="I63" s="57"/>
      <c r="J63" s="57"/>
      <c r="K63" s="57"/>
    </row>
  </sheetData>
  <sheetProtection sheet="1" objects="1" scenarios="1"/>
  <mergeCells count="99">
    <mergeCell ref="G58:J58"/>
    <mergeCell ref="B29:E29"/>
    <mergeCell ref="D39:E39"/>
    <mergeCell ref="G52:J52"/>
    <mergeCell ref="I54:I56"/>
    <mergeCell ref="J54:J56"/>
    <mergeCell ref="G44:J44"/>
    <mergeCell ref="B39:C39"/>
    <mergeCell ref="D37:E37"/>
    <mergeCell ref="B35:E35"/>
    <mergeCell ref="J46:J50"/>
    <mergeCell ref="I46:I50"/>
    <mergeCell ref="G22:J22"/>
    <mergeCell ref="G14:J14"/>
    <mergeCell ref="G6:J6"/>
    <mergeCell ref="B23:E23"/>
    <mergeCell ref="B19:E19"/>
    <mergeCell ref="B20:C20"/>
    <mergeCell ref="B6:E6"/>
    <mergeCell ref="I16:I20"/>
    <mergeCell ref="J16:J20"/>
    <mergeCell ref="M6:M10"/>
    <mergeCell ref="P20:Q20"/>
    <mergeCell ref="T20:U20"/>
    <mergeCell ref="L20:M20"/>
    <mergeCell ref="R5:T10"/>
    <mergeCell ref="Z6:AA7"/>
    <mergeCell ref="L6:L10"/>
    <mergeCell ref="P6:P10"/>
    <mergeCell ref="Q6:Q10"/>
    <mergeCell ref="O6:O10"/>
    <mergeCell ref="N6:N10"/>
    <mergeCell ref="V9:W9"/>
    <mergeCell ref="V6:W6"/>
    <mergeCell ref="V12:W12"/>
    <mergeCell ref="V11:W11"/>
    <mergeCell ref="X11:Y12"/>
    <mergeCell ref="V5:W5"/>
    <mergeCell ref="V7:W7"/>
    <mergeCell ref="L19:AA19"/>
    <mergeCell ref="L14:N14"/>
    <mergeCell ref="L16:L18"/>
    <mergeCell ref="M16:M18"/>
    <mergeCell ref="N16:N18"/>
    <mergeCell ref="B2:C2"/>
    <mergeCell ref="B3:C4"/>
    <mergeCell ref="D2:E2"/>
    <mergeCell ref="D3:E4"/>
    <mergeCell ref="X3:Y3"/>
    <mergeCell ref="G2:J2"/>
    <mergeCell ref="L2:Q2"/>
    <mergeCell ref="N3:O4"/>
    <mergeCell ref="V2:AA2"/>
    <mergeCell ref="R2:T4"/>
    <mergeCell ref="P3:Q4"/>
    <mergeCell ref="Z3:AA3"/>
    <mergeCell ref="V3:W4"/>
    <mergeCell ref="L3:M4"/>
    <mergeCell ref="X20:Y20"/>
    <mergeCell ref="V10:W10"/>
    <mergeCell ref="X8:Y10"/>
    <mergeCell ref="V8:W8"/>
    <mergeCell ref="L31:AA31"/>
    <mergeCell ref="X23:AA26"/>
    <mergeCell ref="N21:O21"/>
    <mergeCell ref="P21:Q21"/>
    <mergeCell ref="R21:S21"/>
    <mergeCell ref="P22:S22"/>
    <mergeCell ref="L22:O22"/>
    <mergeCell ref="L23:O26"/>
    <mergeCell ref="P23:S26"/>
    <mergeCell ref="T21:U21"/>
    <mergeCell ref="V21:W21"/>
    <mergeCell ref="T22:W22"/>
    <mergeCell ref="L35:O38"/>
    <mergeCell ref="P35:S38"/>
    <mergeCell ref="T35:W38"/>
    <mergeCell ref="X35:AA38"/>
    <mergeCell ref="V33:W33"/>
    <mergeCell ref="X33:Y33"/>
    <mergeCell ref="Z33:AA33"/>
    <mergeCell ref="L34:O34"/>
    <mergeCell ref="P34:S34"/>
    <mergeCell ref="T34:W34"/>
    <mergeCell ref="X34:AA34"/>
    <mergeCell ref="L33:M33"/>
    <mergeCell ref="L32:M32"/>
    <mergeCell ref="P32:Q32"/>
    <mergeCell ref="T32:U32"/>
    <mergeCell ref="T23:W26"/>
    <mergeCell ref="Z21:AA21"/>
    <mergeCell ref="X22:AA22"/>
    <mergeCell ref="X21:Y21"/>
    <mergeCell ref="L21:M21"/>
    <mergeCell ref="X32:Y32"/>
    <mergeCell ref="N33:O33"/>
    <mergeCell ref="P33:Q33"/>
    <mergeCell ref="R33:S33"/>
    <mergeCell ref="T33:U33"/>
  </mergeCells>
  <conditionalFormatting sqref="P20:S29 P32:S41">
    <cfRule type="expression" dxfId="20" priority="28">
      <formula>$E$16&lt;2</formula>
    </cfRule>
  </conditionalFormatting>
  <conditionalFormatting sqref="T20:W29 T32:W41">
    <cfRule type="expression" dxfId="17" priority="30">
      <formula>$E$16&lt;3</formula>
    </cfRule>
  </conditionalFormatting>
  <conditionalFormatting sqref="X20:AA29 X32:AA41">
    <cfRule type="expression" dxfId="14" priority="32">
      <formula>$E$16&lt;4</formula>
    </cfRule>
  </conditionalFormatting>
  <dataValidations count="15">
    <dataValidation type="whole" allowBlank="1" showInputMessage="1" showErrorMessage="1" errorTitle="Coś skonociłeś" error="LVL powinien być liczbą nie ujemną" sqref="B3:C4" xr:uid="{72393042-9FC6-47A8-8B05-4434276FCD73}">
      <formula1>1</formula1>
      <formula2>1000</formula2>
    </dataValidation>
    <dataValidation type="custom" errorStyle="warning" allowBlank="1" showInputMessage="1" showErrorMessage="1" errorTitle="UWAGA ROZDAŁEŚ ZA DUŻO STATYSTYK" error="Masz już 0 punktów statystyk, uspokuj się i przemyśl swoje zachowanie " sqref="D8:D11" xr:uid="{5510C0DE-1996-4D4D-81B3-866D6AA0CE18}">
      <formula1>$D$3&gt;=0</formula1>
    </dataValidation>
    <dataValidation type="whole" errorStyle="information" allowBlank="1" showInputMessage="1" showErrorMessage="1" errorTitle="Jesteś pewien?" error="W tych komórkach rozdawać statystyki można jedynie za pozwoleniem DMA. Upewnij się, że możesz " sqref="C8:C11" xr:uid="{07A04B48-7754-4274-BF6E-72EC66D53034}">
      <formula1>100000</formula1>
      <formula2>100001</formula2>
    </dataValidation>
    <dataValidation type="whole" errorStyle="information" allowBlank="1" showInputMessage="1" showErrorMessage="1" errorTitle="Jesteś pewien?" error="W tych komórkach rozdawać statystyki można jedynie za pozwoleniem DMA. Upewnij się, że możesz " sqref="C13:C17" xr:uid="{F7FFC956-F008-4AFD-AA61-1E6C25C23B97}">
      <formula1>5</formula1>
      <formula2>100</formula2>
    </dataValidation>
    <dataValidation type="custom" allowBlank="1" showInputMessage="1" showErrorMessage="1" errorTitle="Zła zbroja" error="Chcesz założyć za dużą zborję, upewnij się, że pozostało ci jeszcze miejsce zbroii." sqref="C31:C34" xr:uid="{41C82CA0-7C86-40A6-84DB-A6F213953A2D}">
      <formula1>AND($D$37&gt;=0,$D$37&lt;=24)</formula1>
    </dataValidation>
    <dataValidation type="whole" allowBlank="1" showInputMessage="1" showErrorMessage="1" errorTitle="No co ty robisz" error="Wpisałeś jakąś nierzsądną liczbę pieniedzy, prawda?" sqref="G4:I4" xr:uid="{2AB0E3F1-7B16-4B90-AD75-1798FD684867}">
      <formula1>0</formula1>
      <formula2>100000000</formula2>
    </dataValidation>
    <dataValidation type="custom" errorStyle="warning" allowBlank="1" showInputMessage="1" showErrorMessage="1" errorTitle="Głuptasie, nie psuj " error="Najpenwiej skończyło ci się miesjce w ekwipnuku podręcznym, zastanów się czy nie możesz czegoś przełożyć. Dodatkowo w tych polach masz wpisać miejsce zajmowane przez dany przedmiot, tekst i tym podobne nie przejdzie." sqref="I8:I13" xr:uid="{715C3933-955C-4E46-A10C-02D86300C52E}">
      <formula1>$J$16&gt;=0</formula1>
    </dataValidation>
    <dataValidation type="custom" errorStyle="warning" allowBlank="1" showInputMessage="1" showErrorMessage="1" errorTitle="Coś tu knocisz!" error="Najpenwiej skończyło ci się miesjce w ekwipnuku podręcznym, zastanów się czy nie możesz czegoś przełożyć. Dodatkowo w tych polach masz wpisać miejsce zajmowane przez dany przedmiot, tekst i tym podobne nie przejdzie." sqref="I24:I43" xr:uid="{9FBEEAD6-B5F0-4AEF-BD68-47C61E7972F5}">
      <formula1>$J$46&gt;=0</formula1>
    </dataValidation>
    <dataValidation type="custom" errorStyle="warning" allowBlank="1" showInputMessage="1" showErrorMessage="1" errorTitle="No nie wiem czy tak możesz." error="Najpenwiej skończyło ci się miesjce w ekwipnuku podręcznym, zastanów się czy nie możesz czegoś przełożyć. Dodatkowo w tych polach masz wpisać miejsce zajmowane przez dany przedmiot, tekst i tym podobne nie przejdzie." sqref="H24:H43" xr:uid="{71BE6363-7293-41DA-914D-19312366954A}">
      <formula1>$J$46&gt;=0</formula1>
    </dataValidation>
    <dataValidation type="custom" errorStyle="warning" allowBlank="1" showInputMessage="1" showErrorMessage="1" errorTitle="Kiepku, coś jest nie tak." error="Albo nie masz kołczana, albo za dużo chcesz do niego wsadzić." sqref="H54:H56" xr:uid="{ADC4A910-C7C6-4BB4-A844-2E5B64128788}">
      <formula1>$J$54&gt;=0</formula1>
    </dataValidation>
    <dataValidation type="custom" errorStyle="warning" allowBlank="1" showInputMessage="1" showErrorMessage="1" errorTitle="Idź na siłownię" error="Masz chyba na to za słabe plecy." sqref="H60" xr:uid="{0E7BDBDF-CC00-4C51-9070-565D764C2258}">
      <formula1>$J$60&gt;=0</formula1>
    </dataValidation>
    <dataValidation type="whole" errorStyle="information" allowBlank="1" showInputMessage="1" showErrorMessage="1" errorTitle="Żyćko" error="Pamiętaj że masz tu wpisać tylko obrażenia jakie dostałeś lub wyleczyłeś, tylko w szczególnych przypadkach dostaniesz dodatkowe życie, jak teraz mam nadzieję._x000a_" sqref="N6:O10" xr:uid="{5DE8B21F-073C-4FCC-97AF-9117FA7F682F}">
      <formula1>0</formula1>
      <formula2>1000</formula2>
    </dataValidation>
    <dataValidation type="whole" allowBlank="1" showInputMessage="1" showErrorMessage="1" errorTitle="Tylko dodatnie" error="Wpisz swój wynik rzutu (z bonusem) jeżeli wyszedł ujemny to wpisz 1" sqref="R21:S21 Z21:AA21 N21:O21 V21:W21 R33:S33 Z33:AA33 N33:O33 V33:W33" xr:uid="{7C234F14-C5D8-47B4-84A8-49835381C70B}">
      <formula1>1</formula1>
      <formula2>100</formula2>
    </dataValidation>
    <dataValidation type="custom" allowBlank="1" showInputMessage="1" showErrorMessage="1" sqref="D22" xr:uid="{B32E8FC1-9F16-47D6-89F2-916A2040EB77}">
      <formula1>E22&gt;=0</formula1>
    </dataValidation>
    <dataValidation type="custom" allowBlank="1" showInputMessage="1" showErrorMessage="1" sqref="B25:E25 B27:E27" xr:uid="{A8769869-F985-4094-B7C0-3CC11EEAFE68}">
      <formula1>$E$21&gt;=0</formula1>
    </dataValidation>
  </dataValidations>
  <pageMargins left="0.7" right="0.7" top="0.75" bottom="0.75" header="0.511811023622047" footer="0.511811023622047"/>
  <pageSetup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Check Box 6">
              <controlPr defaultSize="0" autoFill="0" autoLine="0" autoPict="0">
                <anchor moveWithCells="1">
                  <from>
                    <xdr:col>14</xdr:col>
                    <xdr:colOff>257175</xdr:colOff>
                    <xdr:row>18</xdr:row>
                    <xdr:rowOff>114300</xdr:rowOff>
                  </from>
                  <to>
                    <xdr:col>14</xdr:col>
                    <xdr:colOff>628650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" name="Check Box 15">
              <controlPr defaultSize="0" autoFill="0" autoLine="0" autoPict="0">
                <anchor moveWithCells="1">
                  <from>
                    <xdr:col>2</xdr:col>
                    <xdr:colOff>542925</xdr:colOff>
                    <xdr:row>38</xdr:row>
                    <xdr:rowOff>209550</xdr:rowOff>
                  </from>
                  <to>
                    <xdr:col>2</xdr:col>
                    <xdr:colOff>1009650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5" name="Check Box 16">
              <controlPr defaultSize="0" autoFill="0" autoLine="0" autoPict="0">
                <anchor moveWithCells="1">
                  <from>
                    <xdr:col>2</xdr:col>
                    <xdr:colOff>533400</xdr:colOff>
                    <xdr:row>40</xdr:row>
                    <xdr:rowOff>0</xdr:rowOff>
                  </from>
                  <to>
                    <xdr:col>2</xdr:col>
                    <xdr:colOff>1095375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" name="Check Box 17">
              <controlPr defaultSize="0" autoFill="0" autoLine="0" autoPict="0">
                <anchor moveWithCells="1">
                  <from>
                    <xdr:col>2</xdr:col>
                    <xdr:colOff>533400</xdr:colOff>
                    <xdr:row>40</xdr:row>
                    <xdr:rowOff>133350</xdr:rowOff>
                  </from>
                  <to>
                    <xdr:col>2</xdr:col>
                    <xdr:colOff>1162050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Check Box 18">
              <controlPr defaultSize="0" autoFill="0" autoLine="0" autoPict="0">
                <anchor moveWithCells="1">
                  <from>
                    <xdr:col>2</xdr:col>
                    <xdr:colOff>542925</xdr:colOff>
                    <xdr:row>41</xdr:row>
                    <xdr:rowOff>190500</xdr:rowOff>
                  </from>
                  <to>
                    <xdr:col>2</xdr:col>
                    <xdr:colOff>1181100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Check Box 19">
              <controlPr defaultSize="0" autoFill="0" autoLine="0" autoPict="0">
                <anchor moveWithCells="1">
                  <from>
                    <xdr:col>2</xdr:col>
                    <xdr:colOff>542925</xdr:colOff>
                    <xdr:row>42</xdr:row>
                    <xdr:rowOff>171450</xdr:rowOff>
                  </from>
                  <to>
                    <xdr:col>2</xdr:col>
                    <xdr:colOff>990600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Check Box 25">
              <controlPr defaultSize="0" autoFill="0" autoLine="0" autoPict="0">
                <anchor moveWithCells="1">
                  <from>
                    <xdr:col>14</xdr:col>
                    <xdr:colOff>257175</xdr:colOff>
                    <xdr:row>30</xdr:row>
                    <xdr:rowOff>114300</xdr:rowOff>
                  </from>
                  <to>
                    <xdr:col>14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0" name="Check Box 26">
              <controlPr defaultSize="0" autoFill="0" autoLine="0" autoPict="0">
                <anchor moveWithCells="1">
                  <from>
                    <xdr:col>18</xdr:col>
                    <xdr:colOff>257175</xdr:colOff>
                    <xdr:row>30</xdr:row>
                    <xdr:rowOff>114300</xdr:rowOff>
                  </from>
                  <to>
                    <xdr:col>18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1" name="Check Box 27">
              <controlPr defaultSize="0" autoFill="0" autoLine="0" autoPict="0">
                <anchor moveWithCells="1">
                  <from>
                    <xdr:col>22</xdr:col>
                    <xdr:colOff>257175</xdr:colOff>
                    <xdr:row>30</xdr:row>
                    <xdr:rowOff>114300</xdr:rowOff>
                  </from>
                  <to>
                    <xdr:col>22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2" name="Check Box 28">
              <controlPr defaultSize="0" autoFill="0" autoLine="0" autoPict="0">
                <anchor moveWithCells="1">
                  <from>
                    <xdr:col>26</xdr:col>
                    <xdr:colOff>257175</xdr:colOff>
                    <xdr:row>30</xdr:row>
                    <xdr:rowOff>114300</xdr:rowOff>
                  </from>
                  <to>
                    <xdr:col>26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3" name="Check Box 30">
              <controlPr defaultSize="0" autoFill="0" autoLine="0" autoPict="0">
                <anchor moveWithCells="1">
                  <from>
                    <xdr:col>18</xdr:col>
                    <xdr:colOff>257175</xdr:colOff>
                    <xdr:row>18</xdr:row>
                    <xdr:rowOff>114300</xdr:rowOff>
                  </from>
                  <to>
                    <xdr:col>18</xdr:col>
                    <xdr:colOff>628650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4" name="Check Box 31">
              <controlPr defaultSize="0" autoFill="0" autoLine="0" autoPict="0">
                <anchor moveWithCells="1">
                  <from>
                    <xdr:col>22</xdr:col>
                    <xdr:colOff>257175</xdr:colOff>
                    <xdr:row>18</xdr:row>
                    <xdr:rowOff>114300</xdr:rowOff>
                  </from>
                  <to>
                    <xdr:col>22</xdr:col>
                    <xdr:colOff>628650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5" name="Check Box 32">
              <controlPr defaultSize="0" autoFill="0" autoLine="0" autoPict="0">
                <anchor moveWithCells="1">
                  <from>
                    <xdr:col>26</xdr:col>
                    <xdr:colOff>257175</xdr:colOff>
                    <xdr:row>18</xdr:row>
                    <xdr:rowOff>114300</xdr:rowOff>
                  </from>
                  <to>
                    <xdr:col>26</xdr:col>
                    <xdr:colOff>628650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6" name="Check Box 33">
              <controlPr defaultSize="0" autoFill="0" autoLine="0" autoPict="0">
                <anchor moveWithCells="1">
                  <from>
                    <xdr:col>14</xdr:col>
                    <xdr:colOff>257175</xdr:colOff>
                    <xdr:row>30</xdr:row>
                    <xdr:rowOff>114300</xdr:rowOff>
                  </from>
                  <to>
                    <xdr:col>14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7" name="Check Box 34">
              <controlPr defaultSize="0" autoFill="0" autoLine="0" autoPict="0">
                <anchor moveWithCells="1">
                  <from>
                    <xdr:col>18</xdr:col>
                    <xdr:colOff>257175</xdr:colOff>
                    <xdr:row>30</xdr:row>
                    <xdr:rowOff>114300</xdr:rowOff>
                  </from>
                  <to>
                    <xdr:col>18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8" name="Check Box 35">
              <controlPr defaultSize="0" autoFill="0" autoLine="0" autoPict="0">
                <anchor moveWithCells="1">
                  <from>
                    <xdr:col>22</xdr:col>
                    <xdr:colOff>257175</xdr:colOff>
                    <xdr:row>30</xdr:row>
                    <xdr:rowOff>114300</xdr:rowOff>
                  </from>
                  <to>
                    <xdr:col>22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9" name="Check Box 36">
              <controlPr defaultSize="0" autoFill="0" autoLine="0" autoPict="0">
                <anchor moveWithCells="1">
                  <from>
                    <xdr:col>26</xdr:col>
                    <xdr:colOff>257175</xdr:colOff>
                    <xdr:row>30</xdr:row>
                    <xdr:rowOff>114300</xdr:rowOff>
                  </from>
                  <to>
                    <xdr:col>26</xdr:col>
                    <xdr:colOff>628650</xdr:colOff>
                    <xdr:row>32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36AFADDF-ECC7-4F63-A1A5-9F013B80B3D0}">
            <xm:f>$N$21&gt;=MAX(Obl!$Q$3:$Q$10)</xm:f>
            <x14:dxf>
              <font>
                <b/>
                <i val="0"/>
                <color rgb="FFC00000"/>
              </font>
            </x14:dxf>
          </x14:cfRule>
          <xm:sqref>L23:O29</xm:sqref>
        </x14:conditionalFormatting>
        <x14:conditionalFormatting xmlns:xm="http://schemas.microsoft.com/office/excel/2006/main">
          <x14:cfRule type="expression" priority="8" id="{34AF949F-E6EA-454D-93A5-867C343F66A3}">
            <xm:f>$N$33&gt;=MAX(Obl!$Q$3:$Q$10)</xm:f>
            <x14:dxf>
              <font>
                <b/>
                <i val="0"/>
                <color rgb="FFC00000"/>
              </font>
            </x14:dxf>
          </x14:cfRule>
          <xm:sqref>L35:O41</xm:sqref>
        </x14:conditionalFormatting>
        <x14:conditionalFormatting xmlns:xm="http://schemas.microsoft.com/office/excel/2006/main">
          <x14:cfRule type="expression" priority="24" id="{E97E6BDA-1334-4B5D-A698-BC77F4884649}">
            <xm:f>N21&gt;=MAX(Obl!$Q$3:$Q$10)</xm:f>
            <x14:dxf>
              <font>
                <b/>
                <i val="0"/>
                <strike val="0"/>
                <u val="double"/>
                <color rgb="FFC00000"/>
              </font>
              <numFmt numFmtId="0" formatCode="General"/>
              <fill>
                <gradientFill type="path" left="0.5" right="0.5" top="0.5" bottom="0.5">
                  <stop position="0">
                    <color theme="7" tint="0.59999389629810485"/>
                  </stop>
                  <stop position="1">
                    <color rgb="FFFFC000"/>
                  </stop>
                </gradientFill>
              </fill>
            </x14:dxf>
          </x14:cfRule>
          <xm:sqref>L22:AA22</xm:sqref>
        </x14:conditionalFormatting>
        <x14:conditionalFormatting xmlns:xm="http://schemas.microsoft.com/office/excel/2006/main">
          <x14:cfRule type="expression" priority="7" id="{32132AA6-8582-4770-BE1E-5085F4BAEB3A}">
            <xm:f>N33&gt;=MAX(Obl!$Q$3:$Q$10)</xm:f>
            <x14:dxf>
              <font>
                <b/>
                <i val="0"/>
                <strike val="0"/>
                <u val="double"/>
                <color rgb="FFC00000"/>
              </font>
              <numFmt numFmtId="0" formatCode="General"/>
              <fill>
                <gradientFill type="path" left="0.5" right="0.5" top="0.5" bottom="0.5">
                  <stop position="0">
                    <color theme="7" tint="0.59999389629810485"/>
                  </stop>
                  <stop position="1">
                    <color rgb="FFFFC000"/>
                  </stop>
                </gradientFill>
              </fill>
            </x14:dxf>
          </x14:cfRule>
          <xm:sqref>L34:AA34</xm:sqref>
        </x14:conditionalFormatting>
        <x14:conditionalFormatting xmlns:xm="http://schemas.microsoft.com/office/excel/2006/main">
          <x14:cfRule type="expression" priority="11" id="{4098885E-4F6B-42E2-9E90-46A8BCB81997}">
            <xm:f>$R$21&gt;=MAX(Obl!$Q$3:$Q$10)</xm:f>
            <x14:dxf>
              <font>
                <b/>
                <i val="0"/>
                <color rgb="FFC00000"/>
              </font>
            </x14:dxf>
          </x14:cfRule>
          <xm:sqref>P23:S29</xm:sqref>
        </x14:conditionalFormatting>
        <x14:conditionalFormatting xmlns:xm="http://schemas.microsoft.com/office/excel/2006/main">
          <x14:cfRule type="expression" priority="6" id="{7E829588-5D74-469E-BD26-2E7CD07E091A}">
            <xm:f>$R$33&gt;=MAX(Obl!$Q$3:$Q$10)</xm:f>
            <x14:dxf>
              <font>
                <b/>
                <i val="0"/>
                <color rgb="FFC00000"/>
              </font>
            </x14:dxf>
          </x14:cfRule>
          <xm:sqref>P35:S41</xm:sqref>
        </x14:conditionalFormatting>
        <x14:conditionalFormatting xmlns:xm="http://schemas.microsoft.com/office/excel/2006/main">
          <x14:cfRule type="expression" priority="10" id="{522C3B55-6C70-4E6A-865F-66C538839D58}">
            <xm:f>$V$21&gt;=MAX(Obl!$Q$3:$Q$10)</xm:f>
            <x14:dxf>
              <font>
                <b/>
                <i val="0"/>
                <color rgb="FFC00000"/>
              </font>
            </x14:dxf>
          </x14:cfRule>
          <xm:sqref>T23:W29</xm:sqref>
        </x14:conditionalFormatting>
        <x14:conditionalFormatting xmlns:xm="http://schemas.microsoft.com/office/excel/2006/main">
          <x14:cfRule type="expression" priority="5" id="{BDBDD7BC-D2DA-4D58-8A93-C3354E46B045}">
            <xm:f>$V$33&gt;=MAX(Obl!$Q$3:$Q$10)</xm:f>
            <x14:dxf>
              <font>
                <b/>
                <i val="0"/>
                <color rgb="FFC00000"/>
              </font>
            </x14:dxf>
          </x14:cfRule>
          <xm:sqref>T35:W41</xm:sqref>
        </x14:conditionalFormatting>
        <x14:conditionalFormatting xmlns:xm="http://schemas.microsoft.com/office/excel/2006/main">
          <x14:cfRule type="expression" priority="9" id="{166A977B-E604-43CC-A1C2-E97E24CB889B}">
            <xm:f>$AA$21&gt;=MAX(Obl!$Q$3:$Q$10)</xm:f>
            <x14:dxf>
              <font>
                <b/>
                <i val="0"/>
                <color rgb="FFC00000"/>
              </font>
            </x14:dxf>
          </x14:cfRule>
          <xm:sqref>X23:AA29</xm:sqref>
        </x14:conditionalFormatting>
        <x14:conditionalFormatting xmlns:xm="http://schemas.microsoft.com/office/excel/2006/main">
          <x14:cfRule type="expression" priority="4" id="{470F91C3-A494-4BBD-9F0B-310395EA629C}">
            <xm:f>$Z$33&gt;=MAX(Obl!$Q$3:$Q$10)</xm:f>
            <x14:dxf>
              <font>
                <b/>
                <i val="0"/>
                <color rgb="FFC00000"/>
              </font>
            </x14:dxf>
          </x14:cfRule>
          <xm:sqref>X35:AA41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99F852-DE90-4C0C-9692-53C9BA4DE90E}">
          <x14:formula1>
            <xm:f>Obl!$O$2:$O$30</xm:f>
          </x14:formula1>
          <xm:sqref>H8:H9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opLeftCell="A26" zoomScale="90" zoomScaleNormal="90" workbookViewId="0">
      <selection activeCell="J44" sqref="J44"/>
    </sheetView>
  </sheetViews>
  <sheetFormatPr defaultColWidth="8.5703125" defaultRowHeight="15" x14ac:dyDescent="0.25"/>
  <cols>
    <col min="2" max="2" width="19.140625" bestFit="1" customWidth="1"/>
    <col min="3" max="3" width="18.85546875" bestFit="1" customWidth="1"/>
    <col min="4" max="4" width="16.28515625" bestFit="1" customWidth="1"/>
    <col min="5" max="5" width="7.42578125" bestFit="1" customWidth="1"/>
    <col min="6" max="6" width="8.28515625" bestFit="1" customWidth="1"/>
    <col min="7" max="7" width="10.7109375" customWidth="1"/>
    <col min="8" max="8" width="14.5703125" bestFit="1" customWidth="1"/>
    <col min="9" max="9" width="11.5703125" bestFit="1" customWidth="1"/>
    <col min="10" max="10" width="20.42578125" bestFit="1" customWidth="1"/>
    <col min="11" max="11" width="167.7109375" bestFit="1" customWidth="1"/>
    <col min="12" max="12" width="29.7109375" bestFit="1" customWidth="1"/>
  </cols>
  <sheetData>
    <row r="1" spans="1:15" ht="15.75" thickBot="1" x14ac:dyDescent="0.3">
      <c r="C1" s="1"/>
      <c r="D1" s="1"/>
      <c r="E1" s="1"/>
      <c r="F1" s="1"/>
      <c r="G1" s="1"/>
      <c r="H1" s="1"/>
      <c r="I1" s="1"/>
      <c r="J1" s="1"/>
      <c r="K1" s="1"/>
    </row>
    <row r="2" spans="1:15" ht="16.5" customHeight="1" thickTop="1" thickBot="1" x14ac:dyDescent="0.3">
      <c r="B2" s="349"/>
      <c r="C2" s="412" t="s">
        <v>191</v>
      </c>
      <c r="D2" s="413" t="s">
        <v>461</v>
      </c>
      <c r="E2" s="414" t="s">
        <v>462</v>
      </c>
      <c r="F2" s="414" t="s">
        <v>187</v>
      </c>
      <c r="G2" s="415" t="s">
        <v>186</v>
      </c>
      <c r="H2" s="414" t="s">
        <v>185</v>
      </c>
      <c r="I2" s="416" t="s">
        <v>463</v>
      </c>
      <c r="J2" s="416" t="s">
        <v>172</v>
      </c>
      <c r="K2" s="414" t="s">
        <v>171</v>
      </c>
      <c r="L2" s="417" t="s">
        <v>422</v>
      </c>
      <c r="M2" s="4"/>
      <c r="N2" s="4"/>
      <c r="O2" s="4"/>
    </row>
    <row r="3" spans="1:15" ht="13.9" customHeight="1" thickTop="1" x14ac:dyDescent="0.25">
      <c r="A3" s="2"/>
      <c r="B3" s="666" t="s">
        <v>229</v>
      </c>
      <c r="C3" s="350">
        <v>0</v>
      </c>
      <c r="D3" s="351" t="s">
        <v>228</v>
      </c>
      <c r="E3" s="352">
        <v>0.5</v>
      </c>
      <c r="F3" s="352" t="s">
        <v>246</v>
      </c>
      <c r="G3" s="352" t="s">
        <v>34</v>
      </c>
      <c r="H3" s="352" t="s">
        <v>35</v>
      </c>
      <c r="I3" s="352">
        <v>1</v>
      </c>
      <c r="J3" s="352" t="s">
        <v>195</v>
      </c>
      <c r="K3" s="353" t="s">
        <v>236</v>
      </c>
      <c r="L3" s="638"/>
      <c r="M3" s="4"/>
      <c r="N3" s="4"/>
      <c r="O3" s="4"/>
    </row>
    <row r="4" spans="1:15" ht="13.9" customHeight="1" x14ac:dyDescent="0.25">
      <c r="A4" s="2"/>
      <c r="B4" s="426"/>
      <c r="C4" s="355">
        <v>3</v>
      </c>
      <c r="D4" s="356" t="s">
        <v>231</v>
      </c>
      <c r="E4" s="357">
        <v>0.5</v>
      </c>
      <c r="F4" s="357" t="s">
        <v>246</v>
      </c>
      <c r="G4" s="357" t="s">
        <v>34</v>
      </c>
      <c r="H4" s="357" t="s">
        <v>232</v>
      </c>
      <c r="I4" s="357">
        <v>1</v>
      </c>
      <c r="J4" s="357" t="s">
        <v>195</v>
      </c>
      <c r="K4" s="358" t="s">
        <v>237</v>
      </c>
      <c r="L4" s="639"/>
      <c r="M4" s="4"/>
      <c r="N4" s="4"/>
      <c r="O4" s="4"/>
    </row>
    <row r="5" spans="1:15" x14ac:dyDescent="0.25">
      <c r="A5" s="2"/>
      <c r="B5" s="426"/>
      <c r="C5" s="360">
        <v>8</v>
      </c>
      <c r="D5" s="361" t="s">
        <v>233</v>
      </c>
      <c r="E5" s="362">
        <v>0.5</v>
      </c>
      <c r="F5" s="362" t="s">
        <v>246</v>
      </c>
      <c r="G5" s="362" t="s">
        <v>234</v>
      </c>
      <c r="H5" s="362" t="s">
        <v>35</v>
      </c>
      <c r="I5" s="362">
        <v>1</v>
      </c>
      <c r="J5" s="362" t="s">
        <v>235</v>
      </c>
      <c r="K5" s="363" t="s">
        <v>459</v>
      </c>
      <c r="L5" s="639"/>
      <c r="M5" s="4"/>
      <c r="N5" s="4"/>
      <c r="O5" s="4"/>
    </row>
    <row r="6" spans="1:15" ht="15.75" thickBot="1" x14ac:dyDescent="0.3">
      <c r="A6" s="2"/>
      <c r="B6" s="667"/>
      <c r="C6" s="364">
        <v>10</v>
      </c>
      <c r="D6" s="365" t="s">
        <v>230</v>
      </c>
      <c r="E6" s="366">
        <v>1</v>
      </c>
      <c r="F6" s="366" t="s">
        <v>246</v>
      </c>
      <c r="G6" s="366" t="s">
        <v>34</v>
      </c>
      <c r="H6" s="367" t="s">
        <v>35</v>
      </c>
      <c r="I6" s="367">
        <v>1</v>
      </c>
      <c r="J6" s="367" t="s">
        <v>260</v>
      </c>
      <c r="K6" s="366" t="s">
        <v>238</v>
      </c>
      <c r="L6" s="640"/>
      <c r="M6" s="4"/>
      <c r="N6" s="4"/>
      <c r="O6" s="4"/>
    </row>
    <row r="7" spans="1:15" ht="16.5" customHeight="1" thickTop="1" x14ac:dyDescent="0.25">
      <c r="A7" s="2"/>
      <c r="B7" s="425" t="s">
        <v>423</v>
      </c>
      <c r="C7" s="350">
        <v>0</v>
      </c>
      <c r="D7" s="351" t="s">
        <v>239</v>
      </c>
      <c r="E7" s="352">
        <v>1</v>
      </c>
      <c r="F7" s="352" t="s">
        <v>246</v>
      </c>
      <c r="G7" s="352" t="s">
        <v>34</v>
      </c>
      <c r="H7" s="352" t="s">
        <v>40</v>
      </c>
      <c r="I7" s="352">
        <v>1</v>
      </c>
      <c r="J7" s="352" t="s">
        <v>195</v>
      </c>
      <c r="K7" s="353" t="s">
        <v>244</v>
      </c>
      <c r="L7" s="641">
        <v>6</v>
      </c>
      <c r="M7" s="4"/>
      <c r="N7" s="4"/>
      <c r="O7" s="4"/>
    </row>
    <row r="8" spans="1:15" ht="15.75" customHeight="1" x14ac:dyDescent="0.25">
      <c r="A8" s="2"/>
      <c r="B8" s="426"/>
      <c r="C8" s="355">
        <v>5</v>
      </c>
      <c r="D8" s="356" t="s">
        <v>240</v>
      </c>
      <c r="E8" s="357">
        <v>1</v>
      </c>
      <c r="F8" s="357" t="s">
        <v>246</v>
      </c>
      <c r="G8" s="357" t="s">
        <v>34</v>
      </c>
      <c r="H8" s="357" t="s">
        <v>36</v>
      </c>
      <c r="I8" s="357">
        <v>1</v>
      </c>
      <c r="J8" s="357" t="s">
        <v>243</v>
      </c>
      <c r="K8" s="358" t="s">
        <v>245</v>
      </c>
      <c r="L8" s="639"/>
    </row>
    <row r="9" spans="1:15" ht="16.5" customHeight="1" thickBot="1" x14ac:dyDescent="0.3">
      <c r="A9" s="2"/>
      <c r="B9" s="427"/>
      <c r="C9" s="370">
        <v>10</v>
      </c>
      <c r="D9" s="371" t="s">
        <v>241</v>
      </c>
      <c r="E9" s="372">
        <v>1.5</v>
      </c>
      <c r="F9" s="372" t="s">
        <v>246</v>
      </c>
      <c r="G9" s="372" t="s">
        <v>242</v>
      </c>
      <c r="H9" s="373" t="s">
        <v>40</v>
      </c>
      <c r="I9" s="373">
        <v>4</v>
      </c>
      <c r="J9" s="373" t="s">
        <v>195</v>
      </c>
      <c r="K9" s="372" t="s">
        <v>247</v>
      </c>
      <c r="L9" s="640"/>
    </row>
    <row r="10" spans="1:15" ht="16.5" customHeight="1" thickTop="1" x14ac:dyDescent="0.25">
      <c r="A10" s="2"/>
      <c r="B10" s="419" t="s">
        <v>424</v>
      </c>
      <c r="C10" s="374">
        <v>0</v>
      </c>
      <c r="D10" s="375" t="s">
        <v>248</v>
      </c>
      <c r="E10" s="376">
        <v>1</v>
      </c>
      <c r="F10" s="376" t="s">
        <v>246</v>
      </c>
      <c r="G10" s="376" t="s">
        <v>34</v>
      </c>
      <c r="H10" s="376" t="s">
        <v>251</v>
      </c>
      <c r="I10" s="376">
        <v>1</v>
      </c>
      <c r="J10" s="376" t="s">
        <v>260</v>
      </c>
      <c r="K10" s="377" t="s">
        <v>259</v>
      </c>
      <c r="L10" s="641">
        <v>15</v>
      </c>
    </row>
    <row r="11" spans="1:15" ht="15.75" customHeight="1" x14ac:dyDescent="0.25">
      <c r="A11" s="2"/>
      <c r="B11" s="420"/>
      <c r="C11" s="350">
        <v>2</v>
      </c>
      <c r="D11" s="351" t="s">
        <v>254</v>
      </c>
      <c r="E11" s="352">
        <v>0.5</v>
      </c>
      <c r="F11" s="352" t="s">
        <v>246</v>
      </c>
      <c r="G11" s="352" t="s">
        <v>103</v>
      </c>
      <c r="H11" s="352" t="s">
        <v>103</v>
      </c>
      <c r="I11" s="352">
        <v>1</v>
      </c>
      <c r="J11" s="352" t="s">
        <v>235</v>
      </c>
      <c r="K11" s="353" t="s">
        <v>460</v>
      </c>
      <c r="L11" s="639"/>
    </row>
    <row r="12" spans="1:15" ht="15.75" customHeight="1" x14ac:dyDescent="0.25">
      <c r="A12" s="2"/>
      <c r="B12" s="420"/>
      <c r="C12" s="374">
        <v>5</v>
      </c>
      <c r="D12" s="375" t="s">
        <v>256</v>
      </c>
      <c r="E12" s="376">
        <v>0</v>
      </c>
      <c r="F12" s="376" t="s">
        <v>246</v>
      </c>
      <c r="G12" s="376" t="s">
        <v>34</v>
      </c>
      <c r="H12" s="376" t="s">
        <v>251</v>
      </c>
      <c r="I12" s="376">
        <v>1</v>
      </c>
      <c r="J12" s="376" t="s">
        <v>257</v>
      </c>
      <c r="K12" s="377" t="s">
        <v>258</v>
      </c>
      <c r="L12" s="639"/>
    </row>
    <row r="13" spans="1:15" ht="15.75" customHeight="1" x14ac:dyDescent="0.25">
      <c r="A13" s="2"/>
      <c r="B13" s="420"/>
      <c r="C13" s="378">
        <v>7</v>
      </c>
      <c r="D13" s="379" t="s">
        <v>249</v>
      </c>
      <c r="E13" s="380">
        <v>1</v>
      </c>
      <c r="F13" s="380" t="s">
        <v>38</v>
      </c>
      <c r="G13" s="380" t="s">
        <v>37</v>
      </c>
      <c r="H13" s="380" t="s">
        <v>252</v>
      </c>
      <c r="I13" s="380">
        <v>1</v>
      </c>
      <c r="J13" s="380" t="s">
        <v>260</v>
      </c>
      <c r="K13" s="381" t="s">
        <v>253</v>
      </c>
      <c r="L13" s="639"/>
    </row>
    <row r="14" spans="1:15" ht="16.5" customHeight="1" thickBot="1" x14ac:dyDescent="0.3">
      <c r="A14" s="2"/>
      <c r="B14" s="421"/>
      <c r="C14" s="364">
        <v>10</v>
      </c>
      <c r="D14" s="365" t="s">
        <v>250</v>
      </c>
      <c r="E14" s="366">
        <v>1</v>
      </c>
      <c r="F14" s="366" t="s">
        <v>246</v>
      </c>
      <c r="G14" s="366" t="s">
        <v>103</v>
      </c>
      <c r="H14" s="367" t="s">
        <v>103</v>
      </c>
      <c r="I14" s="367">
        <v>1</v>
      </c>
      <c r="J14" s="367" t="s">
        <v>261</v>
      </c>
      <c r="K14" s="366" t="s">
        <v>255</v>
      </c>
      <c r="L14" s="640"/>
    </row>
    <row r="15" spans="1:15" ht="16.5" customHeight="1" thickTop="1" x14ac:dyDescent="0.25">
      <c r="A15" s="2"/>
      <c r="B15" s="419" t="s">
        <v>425</v>
      </c>
      <c r="C15" s="350">
        <v>0</v>
      </c>
      <c r="D15" s="351" t="s">
        <v>239</v>
      </c>
      <c r="E15" s="352">
        <v>1</v>
      </c>
      <c r="F15" s="352" t="s">
        <v>246</v>
      </c>
      <c r="G15" s="352" t="s">
        <v>266</v>
      </c>
      <c r="H15" s="352" t="s">
        <v>271</v>
      </c>
      <c r="I15" s="352">
        <v>1</v>
      </c>
      <c r="J15" s="352" t="s">
        <v>195</v>
      </c>
      <c r="K15" s="353" t="s">
        <v>270</v>
      </c>
      <c r="L15" s="641">
        <v>5</v>
      </c>
    </row>
    <row r="16" spans="1:15" ht="15.75" customHeight="1" x14ac:dyDescent="0.25">
      <c r="A16" s="2"/>
      <c r="B16" s="420"/>
      <c r="C16" s="355">
        <v>5</v>
      </c>
      <c r="D16" s="356" t="s">
        <v>262</v>
      </c>
      <c r="E16" s="357">
        <v>1</v>
      </c>
      <c r="F16" s="357" t="s">
        <v>246</v>
      </c>
      <c r="G16" s="357" t="s">
        <v>264</v>
      </c>
      <c r="H16" s="357" t="s">
        <v>268</v>
      </c>
      <c r="I16" s="357">
        <v>1</v>
      </c>
      <c r="J16" s="357" t="s">
        <v>195</v>
      </c>
      <c r="K16" s="358" t="s">
        <v>267</v>
      </c>
      <c r="L16" s="639"/>
    </row>
    <row r="17" spans="1:15" ht="16.5" customHeight="1" thickBot="1" x14ac:dyDescent="0.3">
      <c r="A17" s="2"/>
      <c r="B17" s="421"/>
      <c r="C17" s="370">
        <v>10</v>
      </c>
      <c r="D17" s="371" t="s">
        <v>263</v>
      </c>
      <c r="E17" s="372">
        <v>1</v>
      </c>
      <c r="F17" s="372" t="s">
        <v>246</v>
      </c>
      <c r="G17" s="372" t="s">
        <v>265</v>
      </c>
      <c r="H17" s="373" t="s">
        <v>269</v>
      </c>
      <c r="I17" s="373">
        <v>1</v>
      </c>
      <c r="J17" s="373" t="s">
        <v>195</v>
      </c>
      <c r="K17" s="372" t="s">
        <v>272</v>
      </c>
      <c r="L17" s="640"/>
    </row>
    <row r="18" spans="1:15" ht="16.5" customHeight="1" thickTop="1" x14ac:dyDescent="0.25">
      <c r="B18" s="419" t="s">
        <v>426</v>
      </c>
      <c r="C18" s="374">
        <v>0</v>
      </c>
      <c r="D18" s="375" t="s">
        <v>275</v>
      </c>
      <c r="E18" s="376">
        <v>2</v>
      </c>
      <c r="F18" s="376" t="s">
        <v>38</v>
      </c>
      <c r="G18" s="376" t="s">
        <v>34</v>
      </c>
      <c r="H18" s="376" t="s">
        <v>39</v>
      </c>
      <c r="I18" s="376">
        <v>3</v>
      </c>
      <c r="J18" s="376" t="s">
        <v>243</v>
      </c>
      <c r="K18" s="377" t="s">
        <v>273</v>
      </c>
      <c r="L18" s="641">
        <v>5</v>
      </c>
    </row>
    <row r="19" spans="1:15" ht="15.75" customHeight="1" x14ac:dyDescent="0.25">
      <c r="B19" s="420"/>
      <c r="C19" s="378">
        <v>5</v>
      </c>
      <c r="D19" s="379" t="s">
        <v>274</v>
      </c>
      <c r="E19" s="380">
        <v>1</v>
      </c>
      <c r="F19" s="380" t="s">
        <v>38</v>
      </c>
      <c r="G19" s="380" t="s">
        <v>34</v>
      </c>
      <c r="H19" s="380" t="s">
        <v>39</v>
      </c>
      <c r="I19" s="380">
        <v>3</v>
      </c>
      <c r="J19" s="380" t="s">
        <v>257</v>
      </c>
      <c r="K19" s="381" t="s">
        <v>276</v>
      </c>
      <c r="L19" s="639"/>
    </row>
    <row r="20" spans="1:15" ht="16.5" customHeight="1" thickBot="1" x14ac:dyDescent="0.3">
      <c r="B20" s="421"/>
      <c r="C20" s="364">
        <v>10</v>
      </c>
      <c r="D20" s="365" t="s">
        <v>277</v>
      </c>
      <c r="E20" s="366">
        <v>0</v>
      </c>
      <c r="F20" s="366"/>
      <c r="G20" s="366"/>
      <c r="H20" s="367"/>
      <c r="I20" s="367"/>
      <c r="J20" s="367" t="s">
        <v>195</v>
      </c>
      <c r="K20" s="366" t="s">
        <v>278</v>
      </c>
      <c r="L20" s="640"/>
    </row>
    <row r="21" spans="1:15" ht="16.5" customHeight="1" thickTop="1" x14ac:dyDescent="0.25">
      <c r="B21" s="419" t="s">
        <v>427</v>
      </c>
      <c r="C21" s="350">
        <v>0</v>
      </c>
      <c r="D21" s="351" t="s">
        <v>248</v>
      </c>
      <c r="E21" s="352">
        <v>1</v>
      </c>
      <c r="F21" s="352" t="s">
        <v>246</v>
      </c>
      <c r="G21" s="352" t="s">
        <v>34</v>
      </c>
      <c r="H21" s="352" t="s">
        <v>41</v>
      </c>
      <c r="I21" s="352">
        <v>1</v>
      </c>
      <c r="J21" s="352" t="s">
        <v>195</v>
      </c>
      <c r="K21" s="353" t="s">
        <v>282</v>
      </c>
      <c r="L21" s="641">
        <v>25</v>
      </c>
    </row>
    <row r="22" spans="1:15" x14ac:dyDescent="0.25">
      <c r="B22" s="420"/>
      <c r="C22" s="355">
        <v>5</v>
      </c>
      <c r="D22" s="356" t="s">
        <v>283</v>
      </c>
      <c r="E22" s="357">
        <v>1</v>
      </c>
      <c r="F22" s="357" t="s">
        <v>246</v>
      </c>
      <c r="G22" s="357"/>
      <c r="H22" s="357"/>
      <c r="I22" s="357"/>
      <c r="J22" s="357" t="s">
        <v>235</v>
      </c>
      <c r="K22" s="358" t="s">
        <v>284</v>
      </c>
      <c r="L22" s="639"/>
      <c r="M22" s="4"/>
      <c r="N22" s="4"/>
      <c r="O22" s="4"/>
    </row>
    <row r="23" spans="1:15" ht="15.75" thickBot="1" x14ac:dyDescent="0.3">
      <c r="B23" s="431"/>
      <c r="C23" s="382">
        <v>10</v>
      </c>
      <c r="D23" s="383" t="s">
        <v>279</v>
      </c>
      <c r="E23" s="384">
        <v>1</v>
      </c>
      <c r="F23" s="384" t="s">
        <v>246</v>
      </c>
      <c r="G23" s="384" t="s">
        <v>34</v>
      </c>
      <c r="H23" s="385" t="s">
        <v>280</v>
      </c>
      <c r="I23" s="385">
        <v>1</v>
      </c>
      <c r="J23" s="385" t="s">
        <v>195</v>
      </c>
      <c r="K23" s="386" t="s">
        <v>281</v>
      </c>
      <c r="L23" s="668"/>
      <c r="M23" s="4"/>
      <c r="N23" s="4"/>
      <c r="O23" s="4"/>
    </row>
    <row r="24" spans="1:15" ht="17.25" thickTop="1" thickBot="1" x14ac:dyDescent="0.3">
      <c r="B24" s="418"/>
      <c r="C24" s="387"/>
      <c r="D24" s="387"/>
      <c r="E24" s="387"/>
      <c r="F24" s="387"/>
      <c r="G24" s="387"/>
      <c r="H24" s="387"/>
      <c r="I24" s="387"/>
      <c r="J24" s="387"/>
      <c r="K24" s="387"/>
      <c r="L24" s="658"/>
    </row>
    <row r="25" spans="1:15" ht="16.5" customHeight="1" thickTop="1" x14ac:dyDescent="0.25">
      <c r="B25" s="433" t="s">
        <v>428</v>
      </c>
      <c r="C25" s="374">
        <v>0</v>
      </c>
      <c r="D25" s="375" t="s">
        <v>279</v>
      </c>
      <c r="E25" s="376">
        <v>2</v>
      </c>
      <c r="F25" s="376" t="s">
        <v>246</v>
      </c>
      <c r="G25" s="376" t="s">
        <v>34</v>
      </c>
      <c r="H25" s="376" t="s">
        <v>42</v>
      </c>
      <c r="I25" s="376">
        <v>1</v>
      </c>
      <c r="J25" s="376" t="s">
        <v>195</v>
      </c>
      <c r="K25" s="388" t="s">
        <v>289</v>
      </c>
      <c r="L25" s="662">
        <v>45</v>
      </c>
      <c r="M25" s="4"/>
      <c r="N25" s="4"/>
      <c r="O25" s="4"/>
    </row>
    <row r="26" spans="1:15" ht="15.75" customHeight="1" x14ac:dyDescent="0.25">
      <c r="B26" s="420"/>
      <c r="C26" s="378">
        <v>5</v>
      </c>
      <c r="D26" s="379" t="s">
        <v>286</v>
      </c>
      <c r="E26" s="380">
        <v>3</v>
      </c>
      <c r="F26" s="380" t="s">
        <v>246</v>
      </c>
      <c r="G26" s="380" t="s">
        <v>242</v>
      </c>
      <c r="H26" s="380" t="s">
        <v>287</v>
      </c>
      <c r="I26" s="380" t="s">
        <v>288</v>
      </c>
      <c r="J26" s="380" t="s">
        <v>195</v>
      </c>
      <c r="K26" s="390" t="s">
        <v>290</v>
      </c>
      <c r="L26" s="662"/>
      <c r="M26" s="4"/>
      <c r="N26" s="4"/>
      <c r="O26" s="4"/>
    </row>
    <row r="27" spans="1:15" ht="16.5" customHeight="1" thickBot="1" x14ac:dyDescent="0.3">
      <c r="B27" s="421"/>
      <c r="C27" s="364">
        <v>10</v>
      </c>
      <c r="D27" s="365" t="s">
        <v>285</v>
      </c>
      <c r="E27" s="366">
        <v>2</v>
      </c>
      <c r="F27" s="366" t="s">
        <v>38</v>
      </c>
      <c r="G27" s="366" t="s">
        <v>34</v>
      </c>
      <c r="H27" s="367" t="s">
        <v>42</v>
      </c>
      <c r="I27" s="367">
        <v>1</v>
      </c>
      <c r="J27" s="367" t="s">
        <v>195</v>
      </c>
      <c r="K27" s="391" t="s">
        <v>291</v>
      </c>
      <c r="L27" s="642"/>
    </row>
    <row r="28" spans="1:15" ht="16.5" customHeight="1" thickTop="1" x14ac:dyDescent="0.25">
      <c r="B28" s="419" t="s">
        <v>429</v>
      </c>
      <c r="C28" s="350">
        <v>0</v>
      </c>
      <c r="D28" s="351" t="s">
        <v>249</v>
      </c>
      <c r="E28" s="352">
        <v>2</v>
      </c>
      <c r="F28" s="352" t="s">
        <v>246</v>
      </c>
      <c r="G28" s="352" t="s">
        <v>34</v>
      </c>
      <c r="H28" s="352" t="s">
        <v>292</v>
      </c>
      <c r="I28" s="352" t="s">
        <v>293</v>
      </c>
      <c r="J28" s="352" t="s">
        <v>195</v>
      </c>
      <c r="K28" s="353" t="s">
        <v>294</v>
      </c>
      <c r="L28" s="659">
        <v>60</v>
      </c>
    </row>
    <row r="29" spans="1:15" ht="15.75" customHeight="1" x14ac:dyDescent="0.25">
      <c r="B29" s="420"/>
      <c r="C29" s="355">
        <v>1</v>
      </c>
      <c r="D29" s="356" t="s">
        <v>295</v>
      </c>
      <c r="E29" s="357">
        <v>2</v>
      </c>
      <c r="F29" s="357" t="s">
        <v>296</v>
      </c>
      <c r="G29" s="357" t="s">
        <v>34</v>
      </c>
      <c r="H29" s="357" t="s">
        <v>292</v>
      </c>
      <c r="I29" s="357" t="s">
        <v>297</v>
      </c>
      <c r="J29" s="357" t="s">
        <v>195</v>
      </c>
      <c r="K29" s="358" t="s">
        <v>298</v>
      </c>
      <c r="L29" s="660"/>
    </row>
    <row r="30" spans="1:15" ht="15.75" customHeight="1" x14ac:dyDescent="0.25">
      <c r="B30" s="420"/>
      <c r="C30" s="378">
        <v>2</v>
      </c>
      <c r="D30" s="379" t="s">
        <v>299</v>
      </c>
      <c r="E30" s="380">
        <v>1</v>
      </c>
      <c r="F30" s="380" t="s">
        <v>296</v>
      </c>
      <c r="G30" s="380"/>
      <c r="H30" s="395"/>
      <c r="I30" s="395">
        <v>3</v>
      </c>
      <c r="J30" s="395" t="s">
        <v>235</v>
      </c>
      <c r="K30" s="380" t="s">
        <v>300</v>
      </c>
      <c r="L30" s="660"/>
    </row>
    <row r="31" spans="1:15" ht="16.5" customHeight="1" thickBot="1" x14ac:dyDescent="0.3">
      <c r="B31" s="421"/>
      <c r="C31" s="396">
        <v>10</v>
      </c>
      <c r="D31" s="397" t="s">
        <v>277</v>
      </c>
      <c r="E31" s="398">
        <v>1</v>
      </c>
      <c r="F31" s="398"/>
      <c r="G31" s="398"/>
      <c r="H31" s="398"/>
      <c r="I31" s="398"/>
      <c r="J31" s="398" t="s">
        <v>301</v>
      </c>
      <c r="K31" s="399" t="s">
        <v>302</v>
      </c>
      <c r="L31" s="669"/>
    </row>
    <row r="32" spans="1:15" ht="17.25" customHeight="1" thickTop="1" thickBot="1" x14ac:dyDescent="0.3">
      <c r="B32" s="419" t="s">
        <v>430</v>
      </c>
      <c r="C32" s="350">
        <v>0</v>
      </c>
      <c r="D32" s="351" t="s">
        <v>304</v>
      </c>
      <c r="E32" s="352">
        <v>2</v>
      </c>
      <c r="F32" s="352" t="s">
        <v>38</v>
      </c>
      <c r="G32" s="352" t="s">
        <v>43</v>
      </c>
      <c r="H32" s="352" t="s">
        <v>42</v>
      </c>
      <c r="I32" s="352">
        <v>1</v>
      </c>
      <c r="J32" s="352" t="s">
        <v>195</v>
      </c>
      <c r="K32" s="401" t="s">
        <v>305</v>
      </c>
      <c r="L32" s="670">
        <v>30</v>
      </c>
    </row>
    <row r="33" spans="2:12" ht="17.25" customHeight="1" thickTop="1" thickBot="1" x14ac:dyDescent="0.3">
      <c r="B33" s="420"/>
      <c r="C33" s="355">
        <v>6</v>
      </c>
      <c r="D33" s="356" t="s">
        <v>308</v>
      </c>
      <c r="E33" s="357">
        <v>3</v>
      </c>
      <c r="F33" s="357" t="s">
        <v>38</v>
      </c>
      <c r="G33" s="357" t="s">
        <v>45</v>
      </c>
      <c r="H33" s="357" t="s">
        <v>42</v>
      </c>
      <c r="I33" s="357">
        <v>1</v>
      </c>
      <c r="J33" s="357" t="s">
        <v>306</v>
      </c>
      <c r="K33" s="403" t="s">
        <v>309</v>
      </c>
      <c r="L33" s="670"/>
    </row>
    <row r="34" spans="2:12" ht="17.25" customHeight="1" thickTop="1" thickBot="1" x14ac:dyDescent="0.3">
      <c r="B34" s="421"/>
      <c r="C34" s="370">
        <v>10</v>
      </c>
      <c r="D34" s="371" t="s">
        <v>307</v>
      </c>
      <c r="E34" s="372">
        <v>2</v>
      </c>
      <c r="F34" s="372" t="s">
        <v>33</v>
      </c>
      <c r="G34" s="372" t="s">
        <v>45</v>
      </c>
      <c r="H34" s="373" t="s">
        <v>46</v>
      </c>
      <c r="I34" s="373">
        <v>1</v>
      </c>
      <c r="J34" s="373" t="s">
        <v>306</v>
      </c>
      <c r="K34" s="404" t="s">
        <v>303</v>
      </c>
      <c r="L34" s="670"/>
    </row>
    <row r="35" spans="2:12" ht="17.25" customHeight="1" thickTop="1" thickBot="1" x14ac:dyDescent="0.3">
      <c r="B35" s="419" t="s">
        <v>431</v>
      </c>
      <c r="C35" s="374">
        <v>0</v>
      </c>
      <c r="D35" s="375" t="s">
        <v>275</v>
      </c>
      <c r="E35" s="376">
        <v>2</v>
      </c>
      <c r="F35" s="376" t="s">
        <v>47</v>
      </c>
      <c r="G35" s="376" t="s">
        <v>34</v>
      </c>
      <c r="H35" s="376" t="s">
        <v>44</v>
      </c>
      <c r="I35" s="376">
        <v>3</v>
      </c>
      <c r="J35" s="376" t="s">
        <v>243</v>
      </c>
      <c r="K35" s="388" t="s">
        <v>273</v>
      </c>
      <c r="L35" s="670">
        <v>20</v>
      </c>
    </row>
    <row r="36" spans="2:12" ht="17.25" customHeight="1" thickTop="1" thickBot="1" x14ac:dyDescent="0.3">
      <c r="B36" s="420"/>
      <c r="C36" s="378">
        <v>5</v>
      </c>
      <c r="D36" s="379" t="s">
        <v>274</v>
      </c>
      <c r="E36" s="380">
        <v>1</v>
      </c>
      <c r="F36" s="380" t="s">
        <v>47</v>
      </c>
      <c r="G36" s="380" t="s">
        <v>34</v>
      </c>
      <c r="H36" s="380" t="s">
        <v>44</v>
      </c>
      <c r="I36" s="380">
        <v>3</v>
      </c>
      <c r="J36" s="380" t="s">
        <v>257</v>
      </c>
      <c r="K36" s="390" t="s">
        <v>276</v>
      </c>
      <c r="L36" s="670"/>
    </row>
    <row r="37" spans="2:12" ht="17.25" customHeight="1" thickTop="1" thickBot="1" x14ac:dyDescent="0.3">
      <c r="B37" s="421"/>
      <c r="C37" s="364">
        <v>10</v>
      </c>
      <c r="D37" s="365" t="s">
        <v>277</v>
      </c>
      <c r="E37" s="366">
        <v>0</v>
      </c>
      <c r="F37" s="366"/>
      <c r="G37" s="366"/>
      <c r="H37" s="367"/>
      <c r="I37" s="367"/>
      <c r="J37" s="367" t="s">
        <v>195</v>
      </c>
      <c r="K37" s="391" t="s">
        <v>310</v>
      </c>
      <c r="L37" s="670"/>
    </row>
    <row r="38" spans="2:12" ht="17.25" customHeight="1" thickTop="1" thickBot="1" x14ac:dyDescent="0.3">
      <c r="B38" s="419" t="s">
        <v>432</v>
      </c>
      <c r="C38" s="350">
        <v>0</v>
      </c>
      <c r="D38" s="351" t="s">
        <v>312</v>
      </c>
      <c r="E38" s="352">
        <v>1</v>
      </c>
      <c r="F38" s="352" t="s">
        <v>38</v>
      </c>
      <c r="G38" s="352" t="s">
        <v>34</v>
      </c>
      <c r="H38" s="352" t="s">
        <v>313</v>
      </c>
      <c r="I38" s="352">
        <v>2</v>
      </c>
      <c r="J38" s="352" t="s">
        <v>195</v>
      </c>
      <c r="K38" s="405" t="s">
        <v>314</v>
      </c>
      <c r="L38" s="670">
        <v>25</v>
      </c>
    </row>
    <row r="39" spans="2:12" ht="17.25" customHeight="1" thickTop="1" thickBot="1" x14ac:dyDescent="0.3">
      <c r="B39" s="420"/>
      <c r="C39" s="374">
        <v>3</v>
      </c>
      <c r="D39" s="375" t="s">
        <v>316</v>
      </c>
      <c r="E39" s="376">
        <v>1</v>
      </c>
      <c r="F39" s="376" t="s">
        <v>47</v>
      </c>
      <c r="G39" s="376" t="s">
        <v>34</v>
      </c>
      <c r="H39" s="376" t="s">
        <v>40</v>
      </c>
      <c r="I39" s="376">
        <v>1</v>
      </c>
      <c r="J39" s="376" t="s">
        <v>195</v>
      </c>
      <c r="K39" s="388" t="s">
        <v>317</v>
      </c>
      <c r="L39" s="670"/>
    </row>
    <row r="40" spans="2:12" ht="17.25" customHeight="1" thickTop="1" thickBot="1" x14ac:dyDescent="0.3">
      <c r="B40" s="420"/>
      <c r="C40" s="378">
        <v>6</v>
      </c>
      <c r="D40" s="379" t="s">
        <v>311</v>
      </c>
      <c r="E40" s="380">
        <v>1.5</v>
      </c>
      <c r="F40" s="380" t="s">
        <v>38</v>
      </c>
      <c r="G40" s="380" t="s">
        <v>34</v>
      </c>
      <c r="H40" s="380" t="s">
        <v>313</v>
      </c>
      <c r="I40" s="380">
        <v>3</v>
      </c>
      <c r="J40" s="380" t="s">
        <v>195</v>
      </c>
      <c r="K40" s="390" t="s">
        <v>315</v>
      </c>
      <c r="L40" s="670"/>
    </row>
    <row r="41" spans="2:12" ht="17.25" customHeight="1" thickTop="1" thickBot="1" x14ac:dyDescent="0.3">
      <c r="B41" s="421"/>
      <c r="C41" s="364">
        <v>10</v>
      </c>
      <c r="D41" s="365" t="s">
        <v>316</v>
      </c>
      <c r="E41" s="366">
        <v>1.5</v>
      </c>
      <c r="F41" s="366" t="s">
        <v>38</v>
      </c>
      <c r="G41" s="366" t="s">
        <v>34</v>
      </c>
      <c r="H41" s="367" t="s">
        <v>313</v>
      </c>
      <c r="I41" s="367">
        <v>6</v>
      </c>
      <c r="J41" s="367" t="s">
        <v>257</v>
      </c>
      <c r="K41" s="391" t="s">
        <v>318</v>
      </c>
      <c r="L41" s="670"/>
    </row>
    <row r="42" spans="2:12" ht="17.25" customHeight="1" thickTop="1" thickBot="1" x14ac:dyDescent="0.3">
      <c r="B42" s="419" t="s">
        <v>433</v>
      </c>
      <c r="C42" s="350">
        <v>0</v>
      </c>
      <c r="D42" s="351" t="s">
        <v>249</v>
      </c>
      <c r="E42" s="352">
        <v>2</v>
      </c>
      <c r="F42" s="352" t="s">
        <v>38</v>
      </c>
      <c r="G42" s="352" t="s">
        <v>34</v>
      </c>
      <c r="H42" s="352" t="s">
        <v>321</v>
      </c>
      <c r="I42" s="352">
        <v>3</v>
      </c>
      <c r="J42" s="352" t="s">
        <v>243</v>
      </c>
      <c r="K42" s="405" t="s">
        <v>320</v>
      </c>
      <c r="L42" s="671">
        <v>75</v>
      </c>
    </row>
    <row r="43" spans="2:12" ht="16.5" thickTop="1" thickBot="1" x14ac:dyDescent="0.3">
      <c r="B43" s="420"/>
      <c r="C43" s="355">
        <v>1</v>
      </c>
      <c r="D43" s="356" t="s">
        <v>323</v>
      </c>
      <c r="E43" s="357">
        <v>2</v>
      </c>
      <c r="F43" s="357" t="s">
        <v>38</v>
      </c>
      <c r="G43" s="357" t="s">
        <v>43</v>
      </c>
      <c r="H43" s="357" t="s">
        <v>49</v>
      </c>
      <c r="I43" s="357">
        <v>1</v>
      </c>
      <c r="J43" s="357" t="s">
        <v>195</v>
      </c>
      <c r="K43" s="403" t="s">
        <v>305</v>
      </c>
      <c r="L43" s="671"/>
    </row>
    <row r="44" spans="2:12" ht="16.5" thickTop="1" thickBot="1" x14ac:dyDescent="0.3">
      <c r="B44" s="420"/>
      <c r="C44" s="360">
        <v>2</v>
      </c>
      <c r="D44" s="361" t="s">
        <v>325</v>
      </c>
      <c r="E44" s="362">
        <v>2</v>
      </c>
      <c r="F44" s="362" t="s">
        <v>47</v>
      </c>
      <c r="G44" s="362" t="s">
        <v>43</v>
      </c>
      <c r="H44" s="362" t="s">
        <v>48</v>
      </c>
      <c r="I44" s="362">
        <v>1</v>
      </c>
      <c r="J44" s="362" t="s">
        <v>195</v>
      </c>
      <c r="K44" s="406" t="s">
        <v>326</v>
      </c>
      <c r="L44" s="671"/>
    </row>
    <row r="45" spans="2:12" ht="16.5" thickTop="1" thickBot="1" x14ac:dyDescent="0.3">
      <c r="B45" s="431"/>
      <c r="C45" s="407">
        <v>3</v>
      </c>
      <c r="D45" s="408" t="s">
        <v>324</v>
      </c>
      <c r="E45" s="409">
        <v>2</v>
      </c>
      <c r="F45" s="409" t="s">
        <v>38</v>
      </c>
      <c r="G45" s="409" t="s">
        <v>322</v>
      </c>
      <c r="H45" s="410" t="s">
        <v>44</v>
      </c>
      <c r="I45" s="410">
        <v>1</v>
      </c>
      <c r="J45" s="410" t="s">
        <v>195</v>
      </c>
      <c r="K45" s="411" t="s">
        <v>319</v>
      </c>
      <c r="L45" s="671"/>
    </row>
    <row r="46" spans="2:12" ht="15.75" thickTop="1" x14ac:dyDescent="0.25"/>
  </sheetData>
  <mergeCells count="24">
    <mergeCell ref="L38:L41"/>
    <mergeCell ref="L42:L45"/>
    <mergeCell ref="B10:B14"/>
    <mergeCell ref="B7:B9"/>
    <mergeCell ref="B3:B6"/>
    <mergeCell ref="B15:B17"/>
    <mergeCell ref="B21:B23"/>
    <mergeCell ref="B25:B27"/>
    <mergeCell ref="B28:B31"/>
    <mergeCell ref="B32:B34"/>
    <mergeCell ref="B38:B41"/>
    <mergeCell ref="B42:B45"/>
    <mergeCell ref="L21:L23"/>
    <mergeCell ref="L25:L27"/>
    <mergeCell ref="L28:L31"/>
    <mergeCell ref="L32:L34"/>
    <mergeCell ref="L35:L37"/>
    <mergeCell ref="L3:L6"/>
    <mergeCell ref="L7:L9"/>
    <mergeCell ref="L10:L14"/>
    <mergeCell ref="L15:L17"/>
    <mergeCell ref="L18:L20"/>
    <mergeCell ref="B35:B37"/>
    <mergeCell ref="B18:B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zoomScale="85" zoomScaleNormal="85" workbookViewId="0">
      <selection activeCell="K33" sqref="K33"/>
    </sheetView>
  </sheetViews>
  <sheetFormatPr defaultColWidth="8.5703125" defaultRowHeight="15" x14ac:dyDescent="0.25"/>
  <cols>
    <col min="2" max="2" width="28.85546875" bestFit="1" customWidth="1"/>
    <col min="3" max="3" width="20.140625" bestFit="1" customWidth="1"/>
    <col min="4" max="4" width="16.42578125" bestFit="1" customWidth="1"/>
    <col min="5" max="5" width="7.42578125" bestFit="1" customWidth="1"/>
    <col min="6" max="6" width="10.42578125" bestFit="1" customWidth="1"/>
    <col min="7" max="7" width="14.42578125" bestFit="1" customWidth="1"/>
    <col min="8" max="8" width="21.42578125" bestFit="1" customWidth="1"/>
    <col min="9" max="9" width="11.85546875" bestFit="1" customWidth="1"/>
    <col min="10" max="10" width="21.85546875" bestFit="1" customWidth="1"/>
    <col min="11" max="11" width="138.28515625" bestFit="1" customWidth="1"/>
    <col min="12" max="12" width="31.5703125" bestFit="1" customWidth="1"/>
  </cols>
  <sheetData>
    <row r="1" spans="1:12" ht="15.75" thickBot="1" x14ac:dyDescent="0.3"/>
    <row r="2" spans="1:12" ht="17.25" thickTop="1" thickBot="1" x14ac:dyDescent="0.3">
      <c r="B2" s="435"/>
      <c r="C2" s="412" t="s">
        <v>191</v>
      </c>
      <c r="D2" s="413" t="s">
        <v>461</v>
      </c>
      <c r="E2" s="414" t="s">
        <v>462</v>
      </c>
      <c r="F2" s="414" t="s">
        <v>187</v>
      </c>
      <c r="G2" s="415" t="s">
        <v>32</v>
      </c>
      <c r="H2" s="414" t="s">
        <v>185</v>
      </c>
      <c r="I2" s="416" t="s">
        <v>463</v>
      </c>
      <c r="J2" s="416" t="s">
        <v>172</v>
      </c>
      <c r="K2" s="414" t="s">
        <v>171</v>
      </c>
      <c r="L2" s="417" t="s">
        <v>422</v>
      </c>
    </row>
    <row r="3" spans="1:12" ht="15.75" thickTop="1" x14ac:dyDescent="0.25">
      <c r="A3" s="2"/>
      <c r="B3" s="466" t="s">
        <v>439</v>
      </c>
      <c r="C3" s="374">
        <v>0</v>
      </c>
      <c r="D3" s="375" t="s">
        <v>375</v>
      </c>
      <c r="E3" s="376">
        <v>1</v>
      </c>
      <c r="F3" s="376" t="s">
        <v>376</v>
      </c>
      <c r="G3" s="376" t="s">
        <v>34</v>
      </c>
      <c r="H3" s="376" t="s">
        <v>36</v>
      </c>
      <c r="I3" s="376">
        <v>1</v>
      </c>
      <c r="J3" s="376" t="s">
        <v>195</v>
      </c>
      <c r="K3" s="377" t="s">
        <v>385</v>
      </c>
      <c r="L3" s="641">
        <v>5</v>
      </c>
    </row>
    <row r="4" spans="1:12" x14ac:dyDescent="0.25">
      <c r="A4" s="2"/>
      <c r="B4" s="467"/>
      <c r="C4" s="378">
        <v>5</v>
      </c>
      <c r="D4" s="379" t="s">
        <v>377</v>
      </c>
      <c r="E4" s="380">
        <v>1</v>
      </c>
      <c r="F4" s="380" t="s">
        <v>378</v>
      </c>
      <c r="G4" s="380" t="s">
        <v>34</v>
      </c>
      <c r="H4" s="380" t="s">
        <v>36</v>
      </c>
      <c r="I4" s="380" t="s">
        <v>336</v>
      </c>
      <c r="J4" s="380" t="s">
        <v>195</v>
      </c>
      <c r="K4" s="381" t="s">
        <v>379</v>
      </c>
      <c r="L4" s="639"/>
    </row>
    <row r="5" spans="1:12" ht="15.75" thickBot="1" x14ac:dyDescent="0.3">
      <c r="A5" s="2"/>
      <c r="B5" s="468"/>
      <c r="C5" s="364">
        <v>10</v>
      </c>
      <c r="D5" s="365" t="s">
        <v>380</v>
      </c>
      <c r="E5" s="366">
        <v>0</v>
      </c>
      <c r="F5" s="366" t="s">
        <v>381</v>
      </c>
      <c r="G5" s="366" t="s">
        <v>34</v>
      </c>
      <c r="H5" s="367" t="s">
        <v>36</v>
      </c>
      <c r="I5" s="367">
        <v>1</v>
      </c>
      <c r="J5" s="367" t="s">
        <v>235</v>
      </c>
      <c r="K5" s="366" t="s">
        <v>382</v>
      </c>
      <c r="L5" s="640"/>
    </row>
    <row r="6" spans="1:12" ht="15.75" thickTop="1" x14ac:dyDescent="0.25">
      <c r="B6" s="497" t="s">
        <v>440</v>
      </c>
      <c r="C6" s="350">
        <v>0</v>
      </c>
      <c r="D6" s="351" t="s">
        <v>383</v>
      </c>
      <c r="E6" s="352">
        <v>0.75</v>
      </c>
      <c r="F6" s="352" t="s">
        <v>384</v>
      </c>
      <c r="G6" s="352" t="s">
        <v>34</v>
      </c>
      <c r="H6" s="352" t="s">
        <v>67</v>
      </c>
      <c r="I6" s="352">
        <v>1</v>
      </c>
      <c r="J6" s="352" t="s">
        <v>195</v>
      </c>
      <c r="K6" s="353" t="s">
        <v>386</v>
      </c>
      <c r="L6" s="641">
        <v>4</v>
      </c>
    </row>
    <row r="7" spans="1:12" x14ac:dyDescent="0.25">
      <c r="B7" s="467"/>
      <c r="C7" s="355">
        <v>5</v>
      </c>
      <c r="D7" s="356" t="s">
        <v>387</v>
      </c>
      <c r="E7" s="357">
        <v>1.5</v>
      </c>
      <c r="F7" s="357" t="s">
        <v>384</v>
      </c>
      <c r="G7" s="357" t="s">
        <v>34</v>
      </c>
      <c r="H7" s="357" t="s">
        <v>67</v>
      </c>
      <c r="I7" s="357">
        <v>2</v>
      </c>
      <c r="J7" s="357" t="s">
        <v>195</v>
      </c>
      <c r="K7" s="358" t="s">
        <v>388</v>
      </c>
      <c r="L7" s="639"/>
    </row>
    <row r="8" spans="1:12" ht="15.75" thickBot="1" x14ac:dyDescent="0.3">
      <c r="B8" s="468"/>
      <c r="C8" s="370">
        <v>10</v>
      </c>
      <c r="D8" s="371" t="s">
        <v>390</v>
      </c>
      <c r="E8" s="372">
        <v>1.5</v>
      </c>
      <c r="F8" s="372" t="s">
        <v>246</v>
      </c>
      <c r="G8" s="372" t="s">
        <v>37</v>
      </c>
      <c r="H8" s="373" t="s">
        <v>39</v>
      </c>
      <c r="I8" s="373">
        <v>6</v>
      </c>
      <c r="J8" s="373" t="s">
        <v>195</v>
      </c>
      <c r="K8" s="372" t="s">
        <v>389</v>
      </c>
      <c r="L8" s="640"/>
    </row>
    <row r="9" spans="1:12" ht="15.75" thickTop="1" x14ac:dyDescent="0.25">
      <c r="B9" s="497" t="s">
        <v>441</v>
      </c>
      <c r="C9" s="350">
        <v>0</v>
      </c>
      <c r="D9" s="351" t="s">
        <v>407</v>
      </c>
      <c r="E9" s="352">
        <v>0</v>
      </c>
      <c r="F9" s="352" t="s">
        <v>393</v>
      </c>
      <c r="G9" s="352" t="s">
        <v>34</v>
      </c>
      <c r="H9" s="352" t="s">
        <v>68</v>
      </c>
      <c r="I9" s="352">
        <v>1</v>
      </c>
      <c r="J9" s="352" t="s">
        <v>195</v>
      </c>
      <c r="K9" s="436" t="s">
        <v>392</v>
      </c>
      <c r="L9" s="659">
        <v>3</v>
      </c>
    </row>
    <row r="10" spans="1:12" x14ac:dyDescent="0.25">
      <c r="B10" s="467"/>
      <c r="C10" s="355">
        <v>5</v>
      </c>
      <c r="D10" s="356" t="s">
        <v>387</v>
      </c>
      <c r="E10" s="357">
        <v>1</v>
      </c>
      <c r="F10" s="357" t="s">
        <v>393</v>
      </c>
      <c r="G10" s="357" t="s">
        <v>34</v>
      </c>
      <c r="H10" s="357" t="s">
        <v>68</v>
      </c>
      <c r="I10" s="357">
        <v>3</v>
      </c>
      <c r="J10" s="357" t="s">
        <v>195</v>
      </c>
      <c r="K10" s="437" t="s">
        <v>408</v>
      </c>
      <c r="L10" s="660"/>
    </row>
    <row r="11" spans="1:12" ht="15.75" thickBot="1" x14ac:dyDescent="0.3">
      <c r="B11" s="498"/>
      <c r="C11" s="382">
        <v>10</v>
      </c>
      <c r="D11" s="383" t="s">
        <v>406</v>
      </c>
      <c r="E11" s="384">
        <v>1.5</v>
      </c>
      <c r="F11" s="384" t="s">
        <v>391</v>
      </c>
      <c r="G11" s="384" t="s">
        <v>34</v>
      </c>
      <c r="H11" s="385" t="s">
        <v>395</v>
      </c>
      <c r="I11" s="385" t="s">
        <v>103</v>
      </c>
      <c r="J11" s="385" t="s">
        <v>195</v>
      </c>
      <c r="K11" s="386" t="s">
        <v>394</v>
      </c>
      <c r="L11" s="661"/>
    </row>
    <row r="12" spans="1:12" ht="17.25" thickTop="1" thickBot="1" x14ac:dyDescent="0.3">
      <c r="B12" s="603"/>
      <c r="C12" s="387"/>
      <c r="D12" s="387"/>
      <c r="E12" s="387"/>
      <c r="F12" s="387"/>
      <c r="G12" s="387"/>
      <c r="H12" s="387"/>
      <c r="I12" s="387"/>
      <c r="J12" s="387"/>
      <c r="K12" s="387"/>
      <c r="L12" s="658"/>
    </row>
    <row r="13" spans="1:12" ht="15.75" thickTop="1" x14ac:dyDescent="0.25">
      <c r="B13" s="653" t="s">
        <v>434</v>
      </c>
      <c r="C13" s="350">
        <v>0</v>
      </c>
      <c r="D13" s="351" t="s">
        <v>328</v>
      </c>
      <c r="E13" s="352">
        <v>2</v>
      </c>
      <c r="F13" s="352" t="s">
        <v>50</v>
      </c>
      <c r="G13" s="352" t="s">
        <v>34</v>
      </c>
      <c r="H13" s="352" t="s">
        <v>51</v>
      </c>
      <c r="I13" s="352">
        <v>1</v>
      </c>
      <c r="J13" s="352" t="s">
        <v>195</v>
      </c>
      <c r="K13" s="405" t="s">
        <v>359</v>
      </c>
      <c r="L13" s="662">
        <v>25</v>
      </c>
    </row>
    <row r="14" spans="1:12" x14ac:dyDescent="0.25">
      <c r="B14" s="654"/>
      <c r="C14" s="355">
        <v>4</v>
      </c>
      <c r="D14" s="356" t="s">
        <v>329</v>
      </c>
      <c r="E14" s="357">
        <v>2</v>
      </c>
      <c r="F14" s="357" t="s">
        <v>50</v>
      </c>
      <c r="G14" s="357" t="s">
        <v>37</v>
      </c>
      <c r="H14" s="357" t="s">
        <v>51</v>
      </c>
      <c r="I14" s="357">
        <v>1</v>
      </c>
      <c r="J14" s="357" t="s">
        <v>195</v>
      </c>
      <c r="K14" s="403" t="s">
        <v>358</v>
      </c>
      <c r="L14" s="662"/>
    </row>
    <row r="15" spans="1:12" x14ac:dyDescent="0.25">
      <c r="B15" s="654"/>
      <c r="C15" s="360">
        <v>7</v>
      </c>
      <c r="D15" s="361" t="s">
        <v>332</v>
      </c>
      <c r="E15" s="362">
        <v>2</v>
      </c>
      <c r="F15" s="362" t="s">
        <v>50</v>
      </c>
      <c r="G15" s="362" t="s">
        <v>34</v>
      </c>
      <c r="H15" s="362" t="s">
        <v>333</v>
      </c>
      <c r="I15" s="362">
        <v>1</v>
      </c>
      <c r="J15" s="362" t="s">
        <v>195</v>
      </c>
      <c r="K15" s="406" t="s">
        <v>357</v>
      </c>
      <c r="L15" s="662"/>
    </row>
    <row r="16" spans="1:12" ht="15.75" thickBot="1" x14ac:dyDescent="0.3">
      <c r="B16" s="655"/>
      <c r="C16" s="364">
        <v>10</v>
      </c>
      <c r="D16" s="365" t="s">
        <v>330</v>
      </c>
      <c r="E16" s="366">
        <v>2</v>
      </c>
      <c r="F16" s="366" t="s">
        <v>50</v>
      </c>
      <c r="G16" s="366" t="s">
        <v>327</v>
      </c>
      <c r="H16" s="367" t="s">
        <v>53</v>
      </c>
      <c r="I16" s="367">
        <v>1</v>
      </c>
      <c r="J16" s="367" t="s">
        <v>195</v>
      </c>
      <c r="K16" s="391" t="s">
        <v>356</v>
      </c>
      <c r="L16" s="642"/>
    </row>
    <row r="17" spans="1:12" ht="16.5" thickTop="1" thickBot="1" x14ac:dyDescent="0.3">
      <c r="B17" s="656" t="s">
        <v>435</v>
      </c>
      <c r="C17" s="350">
        <v>0</v>
      </c>
      <c r="D17" s="351" t="s">
        <v>328</v>
      </c>
      <c r="E17" s="352">
        <v>3</v>
      </c>
      <c r="F17" s="352" t="s">
        <v>52</v>
      </c>
      <c r="G17" s="352" t="s">
        <v>34</v>
      </c>
      <c r="H17" s="352" t="s">
        <v>53</v>
      </c>
      <c r="I17" s="352">
        <v>1</v>
      </c>
      <c r="J17" s="352" t="s">
        <v>195</v>
      </c>
      <c r="K17" s="405" t="s">
        <v>355</v>
      </c>
      <c r="L17" s="663">
        <v>80</v>
      </c>
    </row>
    <row r="18" spans="1:12" ht="16.5" thickTop="1" thickBot="1" x14ac:dyDescent="0.3">
      <c r="B18" s="654"/>
      <c r="C18" s="374">
        <v>4</v>
      </c>
      <c r="D18" s="375" t="s">
        <v>335</v>
      </c>
      <c r="E18" s="376">
        <v>2</v>
      </c>
      <c r="F18" s="376" t="s">
        <v>52</v>
      </c>
      <c r="G18" s="376" t="s">
        <v>34</v>
      </c>
      <c r="H18" s="376" t="s">
        <v>53</v>
      </c>
      <c r="I18" s="376">
        <v>1</v>
      </c>
      <c r="J18" s="376" t="s">
        <v>235</v>
      </c>
      <c r="K18" s="388" t="s">
        <v>354</v>
      </c>
      <c r="L18" s="663"/>
    </row>
    <row r="19" spans="1:12" ht="16.5" thickTop="1" thickBot="1" x14ac:dyDescent="0.3">
      <c r="B19" s="654"/>
      <c r="C19" s="378">
        <v>8</v>
      </c>
      <c r="D19" s="379" t="s">
        <v>331</v>
      </c>
      <c r="E19" s="380">
        <v>3</v>
      </c>
      <c r="F19" s="380" t="s">
        <v>52</v>
      </c>
      <c r="G19" s="380" t="s">
        <v>43</v>
      </c>
      <c r="H19" s="380" t="s">
        <v>334</v>
      </c>
      <c r="I19" s="380" t="s">
        <v>336</v>
      </c>
      <c r="J19" s="380" t="s">
        <v>195</v>
      </c>
      <c r="K19" s="390" t="s">
        <v>353</v>
      </c>
      <c r="L19" s="663"/>
    </row>
    <row r="20" spans="1:12" ht="16.5" thickTop="1" thickBot="1" x14ac:dyDescent="0.3">
      <c r="B20" s="657"/>
      <c r="C20" s="364">
        <v>10</v>
      </c>
      <c r="D20" s="365" t="s">
        <v>330</v>
      </c>
      <c r="E20" s="366">
        <v>3</v>
      </c>
      <c r="F20" s="366" t="s">
        <v>52</v>
      </c>
      <c r="G20" s="366" t="s">
        <v>34</v>
      </c>
      <c r="H20" s="367" t="s">
        <v>337</v>
      </c>
      <c r="I20" s="367">
        <v>1</v>
      </c>
      <c r="J20" s="367" t="s">
        <v>195</v>
      </c>
      <c r="K20" s="391" t="s">
        <v>237</v>
      </c>
      <c r="L20" s="659"/>
    </row>
    <row r="21" spans="1:12" ht="16.5" thickTop="1" x14ac:dyDescent="0.25">
      <c r="A21" s="2"/>
      <c r="B21" s="479" t="s">
        <v>54</v>
      </c>
      <c r="C21" s="438"/>
      <c r="D21" s="439"/>
      <c r="E21" s="376"/>
      <c r="F21" s="440"/>
      <c r="G21" s="376"/>
      <c r="H21" s="441"/>
      <c r="I21" s="441"/>
      <c r="J21" s="441"/>
      <c r="K21" s="442"/>
      <c r="L21" s="664">
        <v>1</v>
      </c>
    </row>
    <row r="22" spans="1:12" ht="15.75" x14ac:dyDescent="0.25">
      <c r="A22" s="2"/>
      <c r="B22" s="480" t="s">
        <v>55</v>
      </c>
      <c r="C22" s="378"/>
      <c r="D22" s="444"/>
      <c r="E22" s="380"/>
      <c r="F22" s="445"/>
      <c r="G22" s="380">
        <v>-2</v>
      </c>
      <c r="H22" s="395" t="s">
        <v>56</v>
      </c>
      <c r="I22" s="395"/>
      <c r="J22" s="395"/>
      <c r="K22" s="446"/>
      <c r="L22" s="652">
        <v>6</v>
      </c>
    </row>
    <row r="23" spans="1:12" ht="16.5" thickBot="1" x14ac:dyDescent="0.3">
      <c r="A23" s="2"/>
      <c r="B23" s="481" t="s">
        <v>57</v>
      </c>
      <c r="C23" s="407"/>
      <c r="D23" s="447"/>
      <c r="E23" s="448"/>
      <c r="F23" s="449"/>
      <c r="G23" s="448">
        <v>-2</v>
      </c>
      <c r="H23" s="450" t="s">
        <v>453</v>
      </c>
      <c r="I23" s="450"/>
      <c r="J23" s="450"/>
      <c r="K23" s="451" t="s">
        <v>452</v>
      </c>
      <c r="L23" s="665">
        <v>4</v>
      </c>
    </row>
    <row r="24" spans="1:12" ht="17.25" thickTop="1" thickBot="1" x14ac:dyDescent="0.3">
      <c r="B24" s="658"/>
      <c r="C24" s="387"/>
      <c r="D24" s="387"/>
      <c r="E24" s="387"/>
      <c r="F24" s="387"/>
      <c r="G24" s="387"/>
      <c r="H24" s="387"/>
      <c r="I24" s="387"/>
      <c r="J24" s="387"/>
      <c r="K24" s="387"/>
      <c r="L24" s="603"/>
    </row>
    <row r="25" spans="1:12" ht="15.75" thickTop="1" x14ac:dyDescent="0.25">
      <c r="B25" s="466" t="s">
        <v>436</v>
      </c>
      <c r="C25" s="350">
        <v>0</v>
      </c>
      <c r="D25" s="351" t="s">
        <v>328</v>
      </c>
      <c r="E25" s="352">
        <v>1</v>
      </c>
      <c r="F25" s="352" t="s">
        <v>50</v>
      </c>
      <c r="G25" s="352" t="s">
        <v>34</v>
      </c>
      <c r="H25" s="352" t="s">
        <v>58</v>
      </c>
      <c r="I25" s="352">
        <v>1</v>
      </c>
      <c r="J25" s="352" t="s">
        <v>195</v>
      </c>
      <c r="K25" s="353" t="s">
        <v>343</v>
      </c>
      <c r="L25" s="638">
        <v>65</v>
      </c>
    </row>
    <row r="26" spans="1:12" x14ac:dyDescent="0.25">
      <c r="B26" s="467"/>
      <c r="C26" s="355">
        <v>7</v>
      </c>
      <c r="D26" s="356" t="s">
        <v>338</v>
      </c>
      <c r="E26" s="452">
        <v>1.5</v>
      </c>
      <c r="F26" s="357" t="s">
        <v>339</v>
      </c>
      <c r="G26" s="357" t="s">
        <v>43</v>
      </c>
      <c r="H26" s="357" t="s">
        <v>99</v>
      </c>
      <c r="I26" s="357">
        <v>3</v>
      </c>
      <c r="J26" s="357" t="s">
        <v>195</v>
      </c>
      <c r="K26" s="358" t="s">
        <v>342</v>
      </c>
      <c r="L26" s="639"/>
    </row>
    <row r="27" spans="1:12" ht="15.75" thickBot="1" x14ac:dyDescent="0.3">
      <c r="A27" s="2"/>
      <c r="B27" s="468"/>
      <c r="C27" s="370">
        <v>10</v>
      </c>
      <c r="D27" s="371" t="s">
        <v>340</v>
      </c>
      <c r="E27" s="372">
        <v>2</v>
      </c>
      <c r="F27" s="372">
        <v>120</v>
      </c>
      <c r="G27" s="372"/>
      <c r="H27" s="373" t="s">
        <v>67</v>
      </c>
      <c r="I27" s="373" t="s">
        <v>341</v>
      </c>
      <c r="J27" s="373" t="s">
        <v>195</v>
      </c>
      <c r="K27" s="372" t="s">
        <v>352</v>
      </c>
      <c r="L27" s="640"/>
    </row>
    <row r="28" spans="1:12" ht="15.75" thickTop="1" x14ac:dyDescent="0.25">
      <c r="A28" s="2"/>
      <c r="B28" s="419" t="s">
        <v>437</v>
      </c>
      <c r="C28" s="374">
        <v>0</v>
      </c>
      <c r="D28" s="375" t="s">
        <v>328</v>
      </c>
      <c r="E28" s="376">
        <v>2</v>
      </c>
      <c r="F28" s="376" t="s">
        <v>59</v>
      </c>
      <c r="G28" s="376" t="s">
        <v>34</v>
      </c>
      <c r="H28" s="376" t="s">
        <v>36</v>
      </c>
      <c r="I28" s="376">
        <v>1</v>
      </c>
      <c r="J28" s="376" t="s">
        <v>195</v>
      </c>
      <c r="K28" s="377" t="s">
        <v>350</v>
      </c>
      <c r="L28" s="641">
        <v>100</v>
      </c>
    </row>
    <row r="29" spans="1:12" x14ac:dyDescent="0.25">
      <c r="A29" s="2"/>
      <c r="B29" s="420"/>
      <c r="C29" s="378">
        <v>5</v>
      </c>
      <c r="D29" s="379" t="s">
        <v>344</v>
      </c>
      <c r="E29" s="380">
        <v>2</v>
      </c>
      <c r="F29" s="380" t="s">
        <v>52</v>
      </c>
      <c r="G29" s="380" t="s">
        <v>345</v>
      </c>
      <c r="H29" s="380" t="s">
        <v>313</v>
      </c>
      <c r="I29" s="380">
        <v>1</v>
      </c>
      <c r="J29" s="380" t="s">
        <v>195</v>
      </c>
      <c r="K29" s="381" t="s">
        <v>350</v>
      </c>
      <c r="L29" s="639"/>
    </row>
    <row r="30" spans="1:12" ht="15.75" thickBot="1" x14ac:dyDescent="0.3">
      <c r="A30" s="2"/>
      <c r="B30" s="421"/>
      <c r="C30" s="364">
        <v>10</v>
      </c>
      <c r="D30" s="365" t="s">
        <v>346</v>
      </c>
      <c r="E30" s="366">
        <v>2</v>
      </c>
      <c r="F30" s="366" t="s">
        <v>347</v>
      </c>
      <c r="G30" s="366" t="s">
        <v>348</v>
      </c>
      <c r="H30" s="367" t="s">
        <v>349</v>
      </c>
      <c r="I30" s="367">
        <v>1</v>
      </c>
      <c r="J30" s="367" t="s">
        <v>195</v>
      </c>
      <c r="K30" s="366" t="s">
        <v>351</v>
      </c>
      <c r="L30" s="640"/>
    </row>
    <row r="31" spans="1:12" ht="16.5" thickTop="1" x14ac:dyDescent="0.25">
      <c r="A31" s="348"/>
      <c r="B31" s="479" t="s">
        <v>60</v>
      </c>
      <c r="C31" s="438"/>
      <c r="D31" s="453"/>
      <c r="E31" s="377"/>
      <c r="F31" s="454"/>
      <c r="G31" s="377"/>
      <c r="H31" s="455"/>
      <c r="I31" s="455"/>
      <c r="J31" s="455"/>
      <c r="K31" s="456"/>
      <c r="L31" s="664">
        <v>1</v>
      </c>
    </row>
    <row r="32" spans="1:12" ht="15.75" x14ac:dyDescent="0.25">
      <c r="A32" s="348"/>
      <c r="B32" s="480" t="s">
        <v>61</v>
      </c>
      <c r="C32" s="378"/>
      <c r="D32" s="457"/>
      <c r="E32" s="381"/>
      <c r="F32" s="458"/>
      <c r="G32" s="381">
        <v>-1</v>
      </c>
      <c r="H32" s="459" t="s">
        <v>455</v>
      </c>
      <c r="I32" s="459"/>
      <c r="J32" s="459"/>
      <c r="K32" s="390" t="s">
        <v>454</v>
      </c>
      <c r="L32" s="652">
        <v>3</v>
      </c>
    </row>
    <row r="33" spans="1:12" ht="16.5" thickBot="1" x14ac:dyDescent="0.3">
      <c r="A33" s="348"/>
      <c r="B33" s="481" t="s">
        <v>62</v>
      </c>
      <c r="C33" s="407"/>
      <c r="D33" s="460"/>
      <c r="E33" s="461"/>
      <c r="F33" s="462"/>
      <c r="G33" s="461">
        <v>-2</v>
      </c>
      <c r="H33" s="463" t="s">
        <v>453</v>
      </c>
      <c r="I33" s="463"/>
      <c r="J33" s="463"/>
      <c r="K33" s="464" t="s">
        <v>452</v>
      </c>
      <c r="L33" s="665">
        <v>4</v>
      </c>
    </row>
    <row r="34" spans="1:12" ht="17.25" thickTop="1" thickBot="1" x14ac:dyDescent="0.3">
      <c r="B34" s="658"/>
      <c r="C34" s="387"/>
      <c r="D34" s="387"/>
      <c r="E34" s="387"/>
      <c r="F34" s="387"/>
      <c r="G34" s="387"/>
      <c r="H34" s="387"/>
      <c r="I34" s="387"/>
      <c r="J34" s="387"/>
      <c r="K34" s="387"/>
      <c r="L34" s="603"/>
    </row>
    <row r="35" spans="1:12" ht="15.75" thickTop="1" x14ac:dyDescent="0.25">
      <c r="A35" s="2"/>
      <c r="B35" s="466" t="s">
        <v>438</v>
      </c>
      <c r="C35" s="350">
        <v>0</v>
      </c>
      <c r="D35" s="351" t="s">
        <v>328</v>
      </c>
      <c r="E35" s="352">
        <v>1</v>
      </c>
      <c r="F35" s="352" t="s">
        <v>367</v>
      </c>
      <c r="G35" s="352" t="s">
        <v>360</v>
      </c>
      <c r="H35" s="352" t="s">
        <v>63</v>
      </c>
      <c r="I35" s="352">
        <v>1</v>
      </c>
      <c r="J35" s="352" t="s">
        <v>195</v>
      </c>
      <c r="K35" s="353" t="s">
        <v>372</v>
      </c>
      <c r="L35" s="638">
        <v>150</v>
      </c>
    </row>
    <row r="36" spans="1:12" x14ac:dyDescent="0.25">
      <c r="A36" s="2"/>
      <c r="B36" s="467"/>
      <c r="C36" s="355">
        <v>5</v>
      </c>
      <c r="D36" s="356" t="s">
        <v>361</v>
      </c>
      <c r="E36" s="357">
        <v>1</v>
      </c>
      <c r="F36" s="465" t="s">
        <v>100</v>
      </c>
      <c r="G36" s="357"/>
      <c r="H36" s="357" t="s">
        <v>362</v>
      </c>
      <c r="I36" s="357" t="s">
        <v>297</v>
      </c>
      <c r="J36" s="357" t="s">
        <v>195</v>
      </c>
      <c r="K36" s="358" t="s">
        <v>363</v>
      </c>
      <c r="L36" s="639"/>
    </row>
    <row r="37" spans="1:12" ht="15.75" thickBot="1" x14ac:dyDescent="0.3">
      <c r="A37" s="2"/>
      <c r="B37" s="468"/>
      <c r="C37" s="370">
        <v>10</v>
      </c>
      <c r="D37" s="371" t="s">
        <v>365</v>
      </c>
      <c r="E37" s="372">
        <v>1</v>
      </c>
      <c r="F37" s="372" t="s">
        <v>246</v>
      </c>
      <c r="G37" s="372" t="s">
        <v>364</v>
      </c>
      <c r="H37" s="373" t="s">
        <v>63</v>
      </c>
      <c r="I37" s="373">
        <v>1</v>
      </c>
      <c r="J37" s="373" t="s">
        <v>195</v>
      </c>
      <c r="K37" s="372" t="s">
        <v>366</v>
      </c>
      <c r="L37" s="640"/>
    </row>
    <row r="38" spans="1:12" ht="15.75" thickTop="1" x14ac:dyDescent="0.25">
      <c r="A38" s="2"/>
      <c r="B38" s="497" t="s">
        <v>24</v>
      </c>
      <c r="C38" s="374">
        <v>0</v>
      </c>
      <c r="D38" s="375" t="s">
        <v>328</v>
      </c>
      <c r="E38" s="376">
        <v>2</v>
      </c>
      <c r="F38" s="376" t="s">
        <v>368</v>
      </c>
      <c r="G38" s="376" t="s">
        <v>360</v>
      </c>
      <c r="H38" s="376" t="s">
        <v>64</v>
      </c>
      <c r="I38" s="376">
        <v>1</v>
      </c>
      <c r="J38" s="376" t="s">
        <v>195</v>
      </c>
      <c r="K38" s="377" t="s">
        <v>372</v>
      </c>
      <c r="L38" s="641">
        <v>300</v>
      </c>
    </row>
    <row r="39" spans="1:12" ht="15.75" thickBot="1" x14ac:dyDescent="0.3">
      <c r="A39" s="2"/>
      <c r="B39" s="468"/>
      <c r="C39" s="370">
        <v>10</v>
      </c>
      <c r="D39" s="371" t="s">
        <v>369</v>
      </c>
      <c r="E39" s="372">
        <v>2</v>
      </c>
      <c r="F39" s="372" t="s">
        <v>370</v>
      </c>
      <c r="G39" s="372" t="s">
        <v>371</v>
      </c>
      <c r="H39" s="373" t="s">
        <v>374</v>
      </c>
      <c r="I39" s="373">
        <v>1</v>
      </c>
      <c r="J39" s="373" t="s">
        <v>195</v>
      </c>
      <c r="K39" s="372" t="s">
        <v>373</v>
      </c>
      <c r="L39" s="640"/>
    </row>
    <row r="40" spans="1:12" ht="16.5" thickTop="1" x14ac:dyDescent="0.25">
      <c r="A40" s="348"/>
      <c r="B40" s="479" t="s">
        <v>65</v>
      </c>
      <c r="C40" s="438"/>
      <c r="D40" s="453"/>
      <c r="E40" s="377"/>
      <c r="F40" s="454"/>
      <c r="G40" s="377"/>
      <c r="H40" s="455"/>
      <c r="I40" s="455"/>
      <c r="J40" s="455"/>
      <c r="K40" s="456"/>
      <c r="L40" s="664">
        <v>5</v>
      </c>
    </row>
    <row r="41" spans="1:12" ht="15.75" x14ac:dyDescent="0.25">
      <c r="A41" s="348"/>
      <c r="B41" s="480" t="s">
        <v>456</v>
      </c>
      <c r="C41" s="378"/>
      <c r="D41" s="457"/>
      <c r="E41" s="381"/>
      <c r="F41" s="458"/>
      <c r="G41" s="381">
        <v>-2</v>
      </c>
      <c r="H41" s="459" t="s">
        <v>458</v>
      </c>
      <c r="I41" s="459"/>
      <c r="J41" s="459"/>
      <c r="K41" s="390"/>
      <c r="L41" s="652">
        <v>10</v>
      </c>
    </row>
    <row r="42" spans="1:12" ht="16.5" thickBot="1" x14ac:dyDescent="0.3">
      <c r="A42" s="348"/>
      <c r="B42" s="481" t="s">
        <v>66</v>
      </c>
      <c r="C42" s="407"/>
      <c r="D42" s="460"/>
      <c r="E42" s="461"/>
      <c r="F42" s="462"/>
      <c r="G42" s="461">
        <v>1</v>
      </c>
      <c r="H42" s="463" t="s">
        <v>457</v>
      </c>
      <c r="I42" s="463"/>
      <c r="J42" s="463"/>
      <c r="K42" s="464"/>
      <c r="L42" s="665">
        <v>20</v>
      </c>
    </row>
    <row r="43" spans="1:12" ht="15.75" thickTop="1" x14ac:dyDescent="0.25">
      <c r="B43" s="3"/>
      <c r="C43" s="3"/>
      <c r="D43" s="3"/>
      <c r="E43" s="3"/>
      <c r="F43" s="3"/>
      <c r="G43" s="3"/>
      <c r="H43" s="3"/>
      <c r="I43" s="3"/>
      <c r="J43" s="3"/>
    </row>
  </sheetData>
  <mergeCells count="18">
    <mergeCell ref="L35:L37"/>
    <mergeCell ref="L38:L39"/>
    <mergeCell ref="B17:B20"/>
    <mergeCell ref="B25:B27"/>
    <mergeCell ref="B28:B30"/>
    <mergeCell ref="B35:B37"/>
    <mergeCell ref="B38:B39"/>
    <mergeCell ref="L13:L16"/>
    <mergeCell ref="L17:L20"/>
    <mergeCell ref="L25:L27"/>
    <mergeCell ref="L28:L30"/>
    <mergeCell ref="L3:L5"/>
    <mergeCell ref="L6:L8"/>
    <mergeCell ref="L9:L11"/>
    <mergeCell ref="B3:B5"/>
    <mergeCell ref="B6:B8"/>
    <mergeCell ref="B9:B11"/>
    <mergeCell ref="B13:B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5"/>
  <sheetViews>
    <sheetView zoomScale="85" zoomScaleNormal="85" workbookViewId="0">
      <selection activeCell="D14" sqref="D14"/>
    </sheetView>
  </sheetViews>
  <sheetFormatPr defaultColWidth="8.5703125" defaultRowHeight="15" x14ac:dyDescent="0.25"/>
  <cols>
    <col min="2" max="2" width="35.28515625" bestFit="1" customWidth="1"/>
    <col min="3" max="3" width="20.140625" bestFit="1" customWidth="1"/>
    <col min="4" max="4" width="19.140625" bestFit="1" customWidth="1"/>
    <col min="5" max="6" width="7.42578125" bestFit="1" customWidth="1"/>
    <col min="7" max="7" width="10" bestFit="1" customWidth="1"/>
    <col min="8" max="8" width="9" customWidth="1"/>
    <col min="9" max="9" width="11.85546875" bestFit="1" customWidth="1"/>
    <col min="10" max="10" width="21.85546875" bestFit="1" customWidth="1"/>
    <col min="11" max="11" width="142.140625" bestFit="1" customWidth="1"/>
    <col min="12" max="12" width="31.5703125" bestFit="1" customWidth="1"/>
  </cols>
  <sheetData>
    <row r="1" spans="2:12" ht="15.75" thickBot="1" x14ac:dyDescent="0.3">
      <c r="F1" s="1"/>
    </row>
    <row r="2" spans="2:12" ht="17.25" thickTop="1" thickBot="1" x14ac:dyDescent="0.3">
      <c r="B2" s="435"/>
      <c r="C2" s="412" t="s">
        <v>191</v>
      </c>
      <c r="D2" s="413" t="s">
        <v>461</v>
      </c>
      <c r="E2" s="414" t="s">
        <v>462</v>
      </c>
      <c r="F2" s="414" t="s">
        <v>187</v>
      </c>
      <c r="G2" s="415" t="s">
        <v>32</v>
      </c>
      <c r="H2" s="414" t="s">
        <v>185</v>
      </c>
      <c r="I2" s="416" t="s">
        <v>463</v>
      </c>
      <c r="J2" s="416" t="s">
        <v>172</v>
      </c>
      <c r="K2" s="414" t="s">
        <v>171</v>
      </c>
      <c r="L2" s="417" t="s">
        <v>422</v>
      </c>
    </row>
    <row r="3" spans="2:12" ht="15.75" thickTop="1" x14ac:dyDescent="0.25">
      <c r="B3" s="466" t="s">
        <v>442</v>
      </c>
      <c r="C3" s="374">
        <v>0</v>
      </c>
      <c r="D3" s="454" t="s">
        <v>396</v>
      </c>
      <c r="E3" s="377">
        <v>1</v>
      </c>
      <c r="F3" s="377" t="s">
        <v>246</v>
      </c>
      <c r="G3" s="377" t="s">
        <v>34</v>
      </c>
      <c r="H3" s="377" t="s">
        <v>40</v>
      </c>
      <c r="I3" s="377">
        <v>1</v>
      </c>
      <c r="J3" s="377" t="s">
        <v>243</v>
      </c>
      <c r="K3" s="377" t="s">
        <v>398</v>
      </c>
      <c r="L3" s="643">
        <v>5</v>
      </c>
    </row>
    <row r="4" spans="2:12" x14ac:dyDescent="0.25">
      <c r="B4" s="467"/>
      <c r="C4" s="378">
        <v>5</v>
      </c>
      <c r="D4" s="458" t="s">
        <v>397</v>
      </c>
      <c r="E4" s="381">
        <v>1</v>
      </c>
      <c r="F4" s="381"/>
      <c r="G4" s="381"/>
      <c r="H4" s="381"/>
      <c r="I4" s="381"/>
      <c r="J4" s="381" t="s">
        <v>260</v>
      </c>
      <c r="K4" s="381" t="s">
        <v>399</v>
      </c>
      <c r="L4" s="644"/>
    </row>
    <row r="5" spans="2:12" ht="15.75" thickBot="1" x14ac:dyDescent="0.3">
      <c r="B5" s="468"/>
      <c r="C5" s="364">
        <v>10</v>
      </c>
      <c r="D5" s="679" t="s">
        <v>400</v>
      </c>
      <c r="E5" s="672">
        <v>1</v>
      </c>
      <c r="F5" s="672" t="s">
        <v>246</v>
      </c>
      <c r="G5" s="672" t="s">
        <v>34</v>
      </c>
      <c r="H5" s="673" t="s">
        <v>48</v>
      </c>
      <c r="I5" s="673">
        <v>1</v>
      </c>
      <c r="J5" s="673" t="s">
        <v>195</v>
      </c>
      <c r="K5" s="672" t="s">
        <v>401</v>
      </c>
      <c r="L5" s="645"/>
    </row>
    <row r="6" spans="2:12" ht="15.75" thickTop="1" x14ac:dyDescent="0.25">
      <c r="B6" s="497" t="s">
        <v>443</v>
      </c>
      <c r="C6" s="350">
        <v>0</v>
      </c>
      <c r="D6" s="680" t="s">
        <v>396</v>
      </c>
      <c r="E6" s="353">
        <v>1</v>
      </c>
      <c r="F6" s="353" t="s">
        <v>246</v>
      </c>
      <c r="G6" s="353" t="s">
        <v>34</v>
      </c>
      <c r="H6" s="353" t="s">
        <v>39</v>
      </c>
      <c r="I6" s="353">
        <v>1</v>
      </c>
      <c r="J6" s="353" t="s">
        <v>243</v>
      </c>
      <c r="K6" s="353" t="s">
        <v>402</v>
      </c>
      <c r="L6" s="646">
        <v>5</v>
      </c>
    </row>
    <row r="7" spans="2:12" x14ac:dyDescent="0.25">
      <c r="B7" s="467"/>
      <c r="C7" s="355">
        <v>5</v>
      </c>
      <c r="D7" s="681" t="s">
        <v>397</v>
      </c>
      <c r="E7" s="358">
        <v>1</v>
      </c>
      <c r="F7" s="358"/>
      <c r="G7" s="358"/>
      <c r="H7" s="358"/>
      <c r="I7" s="358"/>
      <c r="J7" s="358" t="s">
        <v>260</v>
      </c>
      <c r="K7" s="358" t="s">
        <v>413</v>
      </c>
      <c r="L7" s="644"/>
    </row>
    <row r="8" spans="2:12" ht="19.5" customHeight="1" thickBot="1" x14ac:dyDescent="0.3">
      <c r="B8" s="468"/>
      <c r="C8" s="370">
        <v>10</v>
      </c>
      <c r="D8" s="682" t="s">
        <v>400</v>
      </c>
      <c r="E8" s="674">
        <v>1</v>
      </c>
      <c r="F8" s="674" t="s">
        <v>246</v>
      </c>
      <c r="G8" s="674" t="s">
        <v>34</v>
      </c>
      <c r="H8" s="675" t="s">
        <v>321</v>
      </c>
      <c r="I8" s="675">
        <v>1</v>
      </c>
      <c r="J8" s="675" t="s">
        <v>195</v>
      </c>
      <c r="K8" s="674" t="s">
        <v>401</v>
      </c>
      <c r="L8" s="645"/>
    </row>
    <row r="9" spans="2:12" ht="15.75" thickTop="1" x14ac:dyDescent="0.25">
      <c r="B9" s="497" t="s">
        <v>444</v>
      </c>
      <c r="C9" s="374">
        <v>0</v>
      </c>
      <c r="D9" s="454" t="s">
        <v>405</v>
      </c>
      <c r="E9" s="377">
        <v>1</v>
      </c>
      <c r="F9" s="377" t="s">
        <v>246</v>
      </c>
      <c r="G9" s="377" t="s">
        <v>34</v>
      </c>
      <c r="H9" s="377" t="s">
        <v>321</v>
      </c>
      <c r="I9" s="377">
        <v>1</v>
      </c>
      <c r="J9" s="377" t="s">
        <v>243</v>
      </c>
      <c r="K9" s="377" t="s">
        <v>411</v>
      </c>
      <c r="L9" s="646">
        <v>3</v>
      </c>
    </row>
    <row r="10" spans="2:12" ht="15.75" thickBot="1" x14ac:dyDescent="0.3">
      <c r="B10" s="468"/>
      <c r="C10" s="370">
        <v>10</v>
      </c>
      <c r="D10" s="682" t="s">
        <v>409</v>
      </c>
      <c r="E10" s="674">
        <v>1</v>
      </c>
      <c r="F10" s="674"/>
      <c r="G10" s="674"/>
      <c r="H10" s="675"/>
      <c r="I10" s="675"/>
      <c r="J10" s="675" t="s">
        <v>195</v>
      </c>
      <c r="K10" s="674" t="s">
        <v>410</v>
      </c>
      <c r="L10" s="645"/>
    </row>
    <row r="11" spans="2:12" ht="15.75" thickTop="1" x14ac:dyDescent="0.25">
      <c r="B11" s="497" t="s">
        <v>445</v>
      </c>
      <c r="C11" s="374">
        <v>0</v>
      </c>
      <c r="D11" s="454" t="s">
        <v>405</v>
      </c>
      <c r="E11" s="377">
        <v>1</v>
      </c>
      <c r="F11" s="377" t="s">
        <v>246</v>
      </c>
      <c r="G11" s="377" t="s">
        <v>34</v>
      </c>
      <c r="H11" s="377" t="s">
        <v>67</v>
      </c>
      <c r="I11" s="377">
        <v>1</v>
      </c>
      <c r="J11" s="377" t="s">
        <v>243</v>
      </c>
      <c r="K11" s="377" t="s">
        <v>404</v>
      </c>
      <c r="L11" s="646">
        <v>10</v>
      </c>
    </row>
    <row r="12" spans="2:12" x14ac:dyDescent="0.25">
      <c r="B12" s="467"/>
      <c r="C12" s="378">
        <v>6</v>
      </c>
      <c r="D12" s="458" t="s">
        <v>412</v>
      </c>
      <c r="E12" s="381">
        <v>1</v>
      </c>
      <c r="F12" s="381"/>
      <c r="G12" s="381"/>
      <c r="H12" s="381"/>
      <c r="I12" s="381"/>
      <c r="J12" s="381" t="s">
        <v>260</v>
      </c>
      <c r="K12" s="381" t="s">
        <v>414</v>
      </c>
      <c r="L12" s="644"/>
    </row>
    <row r="13" spans="2:12" ht="15.75" thickBot="1" x14ac:dyDescent="0.3">
      <c r="B13" s="468"/>
      <c r="C13" s="364">
        <v>10</v>
      </c>
      <c r="D13" s="679" t="s">
        <v>415</v>
      </c>
      <c r="E13" s="672">
        <v>1</v>
      </c>
      <c r="F13" s="672"/>
      <c r="G13" s="672"/>
      <c r="H13" s="673"/>
      <c r="I13" s="673"/>
      <c r="J13" s="673" t="s">
        <v>195</v>
      </c>
      <c r="K13" s="672" t="s">
        <v>417</v>
      </c>
      <c r="L13" s="645"/>
    </row>
    <row r="14" spans="2:12" ht="15.75" thickTop="1" x14ac:dyDescent="0.25">
      <c r="B14" s="497" t="s">
        <v>446</v>
      </c>
      <c r="C14" s="350">
        <v>0</v>
      </c>
      <c r="D14" s="680" t="s">
        <v>396</v>
      </c>
      <c r="E14" s="353">
        <v>1</v>
      </c>
      <c r="F14" s="353" t="s">
        <v>246</v>
      </c>
      <c r="G14" s="353" t="s">
        <v>34</v>
      </c>
      <c r="H14" s="353" t="s">
        <v>40</v>
      </c>
      <c r="I14" s="353">
        <v>1</v>
      </c>
      <c r="J14" s="353" t="s">
        <v>243</v>
      </c>
      <c r="K14" s="353" t="s">
        <v>404</v>
      </c>
      <c r="L14" s="646">
        <v>50</v>
      </c>
    </row>
    <row r="15" spans="2:12" x14ac:dyDescent="0.25">
      <c r="B15" s="467"/>
      <c r="C15" s="355">
        <v>5</v>
      </c>
      <c r="D15" s="681" t="s">
        <v>397</v>
      </c>
      <c r="E15" s="358">
        <v>1</v>
      </c>
      <c r="F15" s="358"/>
      <c r="G15" s="358"/>
      <c r="H15" s="358"/>
      <c r="I15" s="358"/>
      <c r="J15" s="358" t="s">
        <v>260</v>
      </c>
      <c r="K15" s="358" t="s">
        <v>403</v>
      </c>
      <c r="L15" s="644"/>
    </row>
    <row r="16" spans="2:12" ht="15.75" thickBot="1" x14ac:dyDescent="0.3">
      <c r="B16" s="468"/>
      <c r="C16" s="370">
        <v>10</v>
      </c>
      <c r="D16" s="682" t="s">
        <v>400</v>
      </c>
      <c r="E16" s="674">
        <v>1</v>
      </c>
      <c r="F16" s="674" t="s">
        <v>246</v>
      </c>
      <c r="G16" s="674" t="s">
        <v>34</v>
      </c>
      <c r="H16" s="675" t="s">
        <v>48</v>
      </c>
      <c r="I16" s="675">
        <v>1</v>
      </c>
      <c r="J16" s="675" t="s">
        <v>195</v>
      </c>
      <c r="K16" s="674" t="s">
        <v>401</v>
      </c>
      <c r="L16" s="645"/>
    </row>
    <row r="17" spans="2:12" ht="15.75" thickTop="1" x14ac:dyDescent="0.25">
      <c r="B17" s="497" t="s">
        <v>447</v>
      </c>
      <c r="C17" s="374">
        <v>0</v>
      </c>
      <c r="D17" s="454" t="s">
        <v>396</v>
      </c>
      <c r="E17" s="377">
        <v>1</v>
      </c>
      <c r="F17" s="377" t="s">
        <v>246</v>
      </c>
      <c r="G17" s="377" t="s">
        <v>34</v>
      </c>
      <c r="H17" s="377" t="s">
        <v>39</v>
      </c>
      <c r="I17" s="377">
        <v>1</v>
      </c>
      <c r="J17" s="377" t="s">
        <v>243</v>
      </c>
      <c r="K17" s="377" t="s">
        <v>411</v>
      </c>
      <c r="L17" s="646">
        <v>50</v>
      </c>
    </row>
    <row r="18" spans="2:12" x14ac:dyDescent="0.25">
      <c r="B18" s="467"/>
      <c r="C18" s="378">
        <v>5</v>
      </c>
      <c r="D18" s="458" t="s">
        <v>397</v>
      </c>
      <c r="E18" s="381">
        <v>1</v>
      </c>
      <c r="F18" s="381"/>
      <c r="G18" s="381"/>
      <c r="H18" s="381"/>
      <c r="I18" s="381"/>
      <c r="J18" s="381" t="s">
        <v>260</v>
      </c>
      <c r="K18" s="381" t="s">
        <v>418</v>
      </c>
      <c r="L18" s="644"/>
    </row>
    <row r="19" spans="2:12" ht="15.75" thickBot="1" x14ac:dyDescent="0.3">
      <c r="B19" s="468"/>
      <c r="C19" s="364">
        <v>10</v>
      </c>
      <c r="D19" s="679" t="s">
        <v>400</v>
      </c>
      <c r="E19" s="672">
        <v>1</v>
      </c>
      <c r="F19" s="672" t="s">
        <v>246</v>
      </c>
      <c r="G19" s="672" t="s">
        <v>34</v>
      </c>
      <c r="H19" s="673" t="s">
        <v>321</v>
      </c>
      <c r="I19" s="673">
        <v>1</v>
      </c>
      <c r="J19" s="673" t="s">
        <v>195</v>
      </c>
      <c r="K19" s="672" t="s">
        <v>401</v>
      </c>
      <c r="L19" s="645"/>
    </row>
    <row r="20" spans="2:12" ht="15.75" thickTop="1" x14ac:dyDescent="0.25">
      <c r="B20" s="497" t="s">
        <v>448</v>
      </c>
      <c r="C20" s="350">
        <v>0</v>
      </c>
      <c r="D20" s="680" t="s">
        <v>405</v>
      </c>
      <c r="E20" s="353">
        <v>1</v>
      </c>
      <c r="F20" s="353" t="s">
        <v>246</v>
      </c>
      <c r="G20" s="353" t="s">
        <v>34</v>
      </c>
      <c r="H20" s="353" t="s">
        <v>321</v>
      </c>
      <c r="I20" s="353">
        <v>1</v>
      </c>
      <c r="J20" s="353" t="s">
        <v>243</v>
      </c>
      <c r="K20" s="401" t="s">
        <v>419</v>
      </c>
      <c r="L20" s="647">
        <v>30</v>
      </c>
    </row>
    <row r="21" spans="2:12" ht="15.75" thickBot="1" x14ac:dyDescent="0.3">
      <c r="B21" s="468"/>
      <c r="C21" s="364">
        <v>10</v>
      </c>
      <c r="D21" s="679" t="s">
        <v>409</v>
      </c>
      <c r="E21" s="672">
        <v>1</v>
      </c>
      <c r="F21" s="672"/>
      <c r="G21" s="672"/>
      <c r="H21" s="673"/>
      <c r="I21" s="673"/>
      <c r="J21" s="673" t="s">
        <v>195</v>
      </c>
      <c r="K21" s="676" t="s">
        <v>410</v>
      </c>
      <c r="L21" s="648"/>
    </row>
    <row r="22" spans="2:12" ht="15.75" thickTop="1" x14ac:dyDescent="0.25">
      <c r="B22" s="497" t="s">
        <v>451</v>
      </c>
      <c r="C22" s="350">
        <v>0</v>
      </c>
      <c r="D22" s="683" t="s">
        <v>405</v>
      </c>
      <c r="E22" s="487">
        <v>1</v>
      </c>
      <c r="F22" s="487" t="s">
        <v>246</v>
      </c>
      <c r="G22" s="487" t="s">
        <v>34</v>
      </c>
      <c r="H22" s="487" t="s">
        <v>67</v>
      </c>
      <c r="I22" s="487">
        <v>1</v>
      </c>
      <c r="J22" s="487" t="s">
        <v>243</v>
      </c>
      <c r="K22" s="487" t="s">
        <v>411</v>
      </c>
      <c r="L22" s="649">
        <v>100</v>
      </c>
    </row>
    <row r="23" spans="2:12" x14ac:dyDescent="0.25">
      <c r="B23" s="467"/>
      <c r="C23" s="355">
        <v>5</v>
      </c>
      <c r="D23" s="684" t="s">
        <v>412</v>
      </c>
      <c r="E23" s="491">
        <v>1</v>
      </c>
      <c r="F23" s="491"/>
      <c r="G23" s="491"/>
      <c r="H23" s="491"/>
      <c r="I23" s="491"/>
      <c r="J23" s="491" t="s">
        <v>260</v>
      </c>
      <c r="K23" s="491" t="s">
        <v>420</v>
      </c>
      <c r="L23" s="650"/>
    </row>
    <row r="24" spans="2:12" ht="15.75" thickBot="1" x14ac:dyDescent="0.3">
      <c r="B24" s="498"/>
      <c r="C24" s="382">
        <v>10</v>
      </c>
      <c r="D24" s="685" t="s">
        <v>415</v>
      </c>
      <c r="E24" s="677">
        <v>1</v>
      </c>
      <c r="F24" s="677"/>
      <c r="G24" s="677"/>
      <c r="H24" s="677"/>
      <c r="I24" s="677"/>
      <c r="J24" s="677" t="s">
        <v>195</v>
      </c>
      <c r="K24" s="678" t="s">
        <v>421</v>
      </c>
      <c r="L24" s="651"/>
    </row>
    <row r="25" spans="2:12" ht="15.75" thickTop="1" x14ac:dyDescent="0.25"/>
  </sheetData>
  <mergeCells count="16">
    <mergeCell ref="L14:L16"/>
    <mergeCell ref="L17:L19"/>
    <mergeCell ref="L20:L21"/>
    <mergeCell ref="L22:L24"/>
    <mergeCell ref="B3:B5"/>
    <mergeCell ref="B6:B8"/>
    <mergeCell ref="B9:B10"/>
    <mergeCell ref="B11:B13"/>
    <mergeCell ref="B14:B16"/>
    <mergeCell ref="B17:B19"/>
    <mergeCell ref="B20:B21"/>
    <mergeCell ref="B22:B24"/>
    <mergeCell ref="L3:L5"/>
    <mergeCell ref="L6:L8"/>
    <mergeCell ref="L9:L10"/>
    <mergeCell ref="L11:L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"/>
  <sheetViews>
    <sheetView zoomScale="130" zoomScaleNormal="130" workbookViewId="0">
      <selection activeCell="F13" sqref="F13"/>
    </sheetView>
  </sheetViews>
  <sheetFormatPr defaultColWidth="8.5703125" defaultRowHeight="15" x14ac:dyDescent="0.25"/>
  <cols>
    <col min="2" max="2" width="25.28515625" bestFit="1" customWidth="1"/>
    <col min="3" max="3" width="6.7109375" bestFit="1" customWidth="1"/>
    <col min="4" max="4" width="6.28515625" bestFit="1" customWidth="1"/>
    <col min="5" max="5" width="53" bestFit="1" customWidth="1"/>
    <col min="6" max="6" width="28" bestFit="1" customWidth="1"/>
    <col min="7" max="7" width="29.140625" bestFit="1" customWidth="1"/>
  </cols>
  <sheetData>
    <row r="1" spans="2:7" ht="15.75" thickBot="1" x14ac:dyDescent="0.3">
      <c r="G1" s="1"/>
    </row>
    <row r="2" spans="2:7" ht="17.25" thickTop="1" thickBot="1" x14ac:dyDescent="0.3">
      <c r="B2" s="502"/>
      <c r="C2" s="413" t="s">
        <v>468</v>
      </c>
      <c r="D2" s="416" t="s">
        <v>469</v>
      </c>
      <c r="E2" s="414" t="s">
        <v>472</v>
      </c>
      <c r="F2" s="414" t="s">
        <v>470</v>
      </c>
      <c r="G2" s="552" t="s">
        <v>471</v>
      </c>
    </row>
    <row r="3" spans="2:7" ht="17.25" thickTop="1" thickBot="1" x14ac:dyDescent="0.3">
      <c r="B3" s="580" t="s">
        <v>25</v>
      </c>
      <c r="C3" s="583" t="s">
        <v>100</v>
      </c>
      <c r="D3" s="584">
        <v>5</v>
      </c>
      <c r="E3" s="585"/>
      <c r="F3" s="584">
        <v>4</v>
      </c>
      <c r="G3" s="586"/>
    </row>
    <row r="4" spans="2:7" ht="17.25" thickTop="1" thickBot="1" x14ac:dyDescent="0.3">
      <c r="B4" s="551" t="s">
        <v>26</v>
      </c>
      <c r="C4" s="587" t="s">
        <v>101</v>
      </c>
      <c r="D4" s="588">
        <v>5</v>
      </c>
      <c r="E4" s="589" t="s">
        <v>473</v>
      </c>
      <c r="F4" s="590">
        <v>6</v>
      </c>
      <c r="G4" s="591">
        <v>2</v>
      </c>
    </row>
    <row r="5" spans="2:7" ht="17.25" thickTop="1" thickBot="1" x14ac:dyDescent="0.3">
      <c r="B5" s="551" t="s">
        <v>27</v>
      </c>
      <c r="C5" s="592" t="s">
        <v>102</v>
      </c>
      <c r="D5" s="593">
        <v>5</v>
      </c>
      <c r="E5" s="594" t="s">
        <v>474</v>
      </c>
      <c r="F5" s="593">
        <v>8</v>
      </c>
      <c r="G5" s="595">
        <v>4</v>
      </c>
    </row>
    <row r="6" spans="2:7" ht="17.25" thickTop="1" thickBot="1" x14ac:dyDescent="0.3">
      <c r="B6" s="581" t="s">
        <v>28</v>
      </c>
      <c r="C6" s="596" t="s">
        <v>103</v>
      </c>
      <c r="D6" s="597">
        <v>5</v>
      </c>
      <c r="E6" s="598" t="s">
        <v>475</v>
      </c>
      <c r="F6" s="597">
        <v>8</v>
      </c>
      <c r="G6" s="599">
        <v>6</v>
      </c>
    </row>
    <row r="7" spans="2:7" ht="17.25" thickTop="1" thickBot="1" x14ac:dyDescent="0.3">
      <c r="B7" s="551" t="s">
        <v>16</v>
      </c>
      <c r="C7" s="600">
        <v>50</v>
      </c>
      <c r="D7" s="593" t="s">
        <v>91</v>
      </c>
      <c r="E7" s="601" t="s">
        <v>92</v>
      </c>
      <c r="F7" s="602" t="s">
        <v>17</v>
      </c>
      <c r="G7" s="603"/>
    </row>
    <row r="8" spans="2:7" ht="17.25" thickTop="1" thickBot="1" x14ac:dyDescent="0.3">
      <c r="B8" s="582" t="s">
        <v>20</v>
      </c>
      <c r="C8" s="604">
        <v>100</v>
      </c>
      <c r="D8" s="605" t="s">
        <v>91</v>
      </c>
      <c r="E8" s="606" t="s">
        <v>158</v>
      </c>
      <c r="F8" s="607" t="s">
        <v>17</v>
      </c>
      <c r="G8" s="603"/>
    </row>
    <row r="9" spans="2:7" ht="15.75" thickTop="1" x14ac:dyDescent="0.25"/>
    <row r="10" spans="2:7" ht="13.9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zoomScale="115" zoomScaleNormal="115" workbookViewId="0">
      <selection activeCell="C28" sqref="C28"/>
    </sheetView>
  </sheetViews>
  <sheetFormatPr defaultColWidth="8.5703125" defaultRowHeight="15" x14ac:dyDescent="0.25"/>
  <cols>
    <col min="2" max="2" width="27.7109375" bestFit="1" customWidth="1"/>
    <col min="3" max="3" width="16" bestFit="1" customWidth="1"/>
    <col min="4" max="4" width="11.7109375" bestFit="1" customWidth="1"/>
    <col min="5" max="5" width="129.140625" bestFit="1" customWidth="1"/>
    <col min="6" max="6" width="24.85546875" bestFit="1" customWidth="1"/>
  </cols>
  <sheetData>
    <row r="1" spans="2:6" ht="15.75" thickBot="1" x14ac:dyDescent="0.3"/>
    <row r="2" spans="2:6" ht="17.25" thickTop="1" thickBot="1" x14ac:dyDescent="0.3">
      <c r="B2" s="349"/>
      <c r="C2" s="548" t="s">
        <v>467</v>
      </c>
      <c r="D2" s="549" t="s">
        <v>466</v>
      </c>
      <c r="E2" s="548" t="s">
        <v>465</v>
      </c>
      <c r="F2" s="550" t="s">
        <v>464</v>
      </c>
    </row>
    <row r="3" spans="2:6" ht="17.25" thickTop="1" thickBot="1" x14ac:dyDescent="0.3">
      <c r="B3" s="480" t="s">
        <v>476</v>
      </c>
      <c r="C3" s="520">
        <v>20</v>
      </c>
      <c r="D3" s="521" t="s">
        <v>69</v>
      </c>
      <c r="E3" s="522" t="s">
        <v>157</v>
      </c>
      <c r="F3" s="523" t="s">
        <v>4</v>
      </c>
    </row>
    <row r="4" spans="2:6" ht="17.25" thickTop="1" thickBot="1" x14ac:dyDescent="0.3">
      <c r="B4" s="557" t="s">
        <v>477</v>
      </c>
      <c r="C4" s="524">
        <v>4</v>
      </c>
      <c r="D4" s="525" t="s">
        <v>70</v>
      </c>
      <c r="E4" s="526" t="s">
        <v>71</v>
      </c>
      <c r="F4" s="527" t="s">
        <v>2</v>
      </c>
    </row>
    <row r="5" spans="2:6" ht="17.25" thickTop="1" thickBot="1" x14ac:dyDescent="0.3">
      <c r="B5" s="479" t="s">
        <v>478</v>
      </c>
      <c r="C5" s="520">
        <v>1</v>
      </c>
      <c r="D5" s="553"/>
      <c r="E5" s="528" t="s">
        <v>72</v>
      </c>
      <c r="F5" s="529" t="s">
        <v>2</v>
      </c>
    </row>
    <row r="6" spans="2:6" ht="17.25" thickTop="1" thickBot="1" x14ac:dyDescent="0.3">
      <c r="B6" s="480" t="s">
        <v>480</v>
      </c>
      <c r="C6" s="524" t="s">
        <v>73</v>
      </c>
      <c r="D6" s="530" t="s">
        <v>74</v>
      </c>
      <c r="E6" s="531" t="s">
        <v>75</v>
      </c>
      <c r="F6" s="532" t="s">
        <v>4</v>
      </c>
    </row>
    <row r="7" spans="2:6" ht="17.25" thickTop="1" thickBot="1" x14ac:dyDescent="0.3">
      <c r="B7" s="480" t="s">
        <v>481</v>
      </c>
      <c r="C7" s="520" t="s">
        <v>76</v>
      </c>
      <c r="D7" s="521" t="s">
        <v>74</v>
      </c>
      <c r="E7" s="528" t="s">
        <v>75</v>
      </c>
      <c r="F7" s="533" t="s">
        <v>10</v>
      </c>
    </row>
    <row r="8" spans="2:6" ht="17.25" thickTop="1" thickBot="1" x14ac:dyDescent="0.3">
      <c r="B8" s="480" t="s">
        <v>482</v>
      </c>
      <c r="C8" s="524" t="s">
        <v>77</v>
      </c>
      <c r="D8" s="530" t="s">
        <v>74</v>
      </c>
      <c r="E8" s="531" t="s">
        <v>75</v>
      </c>
      <c r="F8" s="534" t="s">
        <v>12</v>
      </c>
    </row>
    <row r="9" spans="2:6" ht="17.25" thickTop="1" thickBot="1" x14ac:dyDescent="0.3">
      <c r="B9" s="633"/>
      <c r="C9" s="629"/>
      <c r="D9" s="630"/>
      <c r="E9" s="631"/>
      <c r="F9" s="632"/>
    </row>
    <row r="10" spans="2:6" ht="17.25" thickTop="1" thickBot="1" x14ac:dyDescent="0.3">
      <c r="B10" s="480" t="s">
        <v>483</v>
      </c>
      <c r="C10" s="520" t="s">
        <v>78</v>
      </c>
      <c r="D10" s="553"/>
      <c r="E10" s="522" t="s">
        <v>79</v>
      </c>
      <c r="F10" s="535" t="s">
        <v>6</v>
      </c>
    </row>
    <row r="11" spans="2:6" ht="17.25" thickTop="1" thickBot="1" x14ac:dyDescent="0.3">
      <c r="B11" s="480" t="s">
        <v>484</v>
      </c>
      <c r="C11" s="524" t="s">
        <v>80</v>
      </c>
      <c r="D11" s="553"/>
      <c r="E11" s="536" t="s">
        <v>81</v>
      </c>
      <c r="F11" s="537" t="s">
        <v>6</v>
      </c>
    </row>
    <row r="12" spans="2:6" ht="17.25" thickTop="1" thickBot="1" x14ac:dyDescent="0.3">
      <c r="B12" s="480" t="s">
        <v>485</v>
      </c>
      <c r="C12" s="520" t="s">
        <v>82</v>
      </c>
      <c r="D12" s="553"/>
      <c r="E12" s="522" t="s">
        <v>83</v>
      </c>
      <c r="F12" s="535" t="s">
        <v>6</v>
      </c>
    </row>
    <row r="13" spans="2:6" ht="17.25" thickTop="1" thickBot="1" x14ac:dyDescent="0.3">
      <c r="B13" s="633"/>
      <c r="C13" s="629"/>
      <c r="D13" s="630"/>
      <c r="E13" s="631"/>
      <c r="F13" s="634"/>
    </row>
    <row r="14" spans="2:6" ht="17.25" thickTop="1" thickBot="1" x14ac:dyDescent="0.3">
      <c r="B14" s="480" t="s">
        <v>486</v>
      </c>
      <c r="C14" s="524">
        <v>4</v>
      </c>
      <c r="D14" s="553"/>
      <c r="E14" s="536" t="s">
        <v>84</v>
      </c>
      <c r="F14" s="537" t="s">
        <v>15</v>
      </c>
    </row>
    <row r="15" spans="2:6" ht="17.25" thickTop="1" thickBot="1" x14ac:dyDescent="0.3">
      <c r="B15" s="480" t="s">
        <v>214</v>
      </c>
      <c r="C15" s="520">
        <v>10</v>
      </c>
      <c r="D15" s="553"/>
      <c r="E15" s="522" t="s">
        <v>85</v>
      </c>
      <c r="F15" s="535" t="s">
        <v>19</v>
      </c>
    </row>
    <row r="16" spans="2:6" ht="17.25" thickTop="1" thickBot="1" x14ac:dyDescent="0.3">
      <c r="B16" s="480" t="s">
        <v>213</v>
      </c>
      <c r="C16" s="524">
        <v>40</v>
      </c>
      <c r="D16" s="553"/>
      <c r="E16" s="536" t="s">
        <v>86</v>
      </c>
      <c r="F16" s="537" t="s">
        <v>22</v>
      </c>
    </row>
    <row r="17" spans="1:6" ht="17.25" thickTop="1" thickBot="1" x14ac:dyDescent="0.3">
      <c r="B17" s="480" t="s">
        <v>487</v>
      </c>
      <c r="C17" s="538" t="s">
        <v>87</v>
      </c>
      <c r="D17" s="553"/>
      <c r="E17" s="522" t="s">
        <v>88</v>
      </c>
      <c r="F17" s="535" t="s">
        <v>6</v>
      </c>
    </row>
    <row r="18" spans="1:6" ht="17.25" thickTop="1" thickBot="1" x14ac:dyDescent="0.3">
      <c r="B18" s="480" t="s">
        <v>122</v>
      </c>
      <c r="C18" s="524" t="s">
        <v>89</v>
      </c>
      <c r="D18" s="553"/>
      <c r="E18" s="536" t="s">
        <v>90</v>
      </c>
      <c r="F18" s="537" t="s">
        <v>4</v>
      </c>
    </row>
    <row r="19" spans="1:6" ht="17.25" thickTop="1" thickBot="1" x14ac:dyDescent="0.3">
      <c r="B19" s="633"/>
      <c r="C19" s="629"/>
      <c r="D19" s="630"/>
      <c r="E19" s="631"/>
      <c r="F19" s="634"/>
    </row>
    <row r="20" spans="1:6" ht="17.25" thickTop="1" thickBot="1" x14ac:dyDescent="0.3">
      <c r="B20" s="480" t="s">
        <v>488</v>
      </c>
      <c r="C20" s="524">
        <v>50</v>
      </c>
      <c r="D20" s="530" t="s">
        <v>91</v>
      </c>
      <c r="E20" s="536" t="s">
        <v>92</v>
      </c>
      <c r="F20" s="537" t="s">
        <v>17</v>
      </c>
    </row>
    <row r="21" spans="1:6" ht="17.25" thickTop="1" thickBot="1" x14ac:dyDescent="0.3">
      <c r="B21" s="480" t="s">
        <v>489</v>
      </c>
      <c r="C21" s="520">
        <v>100</v>
      </c>
      <c r="D21" s="521" t="s">
        <v>91</v>
      </c>
      <c r="E21" s="522" t="s">
        <v>93</v>
      </c>
      <c r="F21" s="539" t="s">
        <v>17</v>
      </c>
    </row>
    <row r="22" spans="1:6" ht="17.25" thickTop="1" thickBot="1" x14ac:dyDescent="0.3">
      <c r="B22" s="480" t="s">
        <v>476</v>
      </c>
      <c r="C22" s="524">
        <v>1</v>
      </c>
      <c r="D22" s="553"/>
      <c r="E22" s="531" t="s">
        <v>72</v>
      </c>
      <c r="F22" s="534" t="s">
        <v>2</v>
      </c>
    </row>
    <row r="23" spans="1:6" ht="17.25" thickTop="1" thickBot="1" x14ac:dyDescent="0.3">
      <c r="B23" s="633"/>
      <c r="C23" s="635"/>
      <c r="D23" s="636"/>
      <c r="E23" s="636"/>
      <c r="F23" s="637"/>
    </row>
    <row r="24" spans="1:6" ht="17.25" thickTop="1" thickBot="1" x14ac:dyDescent="0.3">
      <c r="B24" s="557" t="s">
        <v>490</v>
      </c>
      <c r="C24" s="540" t="s">
        <v>94</v>
      </c>
      <c r="D24" s="554"/>
      <c r="E24" s="541" t="s">
        <v>95</v>
      </c>
      <c r="F24" s="542" t="s">
        <v>2</v>
      </c>
    </row>
    <row r="25" spans="1:6" ht="17.25" thickTop="1" thickBot="1" x14ac:dyDescent="0.3">
      <c r="B25" s="480" t="s">
        <v>491</v>
      </c>
      <c r="C25" s="520" t="s">
        <v>76</v>
      </c>
      <c r="D25" s="554"/>
      <c r="E25" s="543" t="s">
        <v>96</v>
      </c>
      <c r="F25" s="544" t="s">
        <v>4</v>
      </c>
    </row>
    <row r="26" spans="1:6" ht="17.25" thickTop="1" thickBot="1" x14ac:dyDescent="0.3">
      <c r="A26" s="2"/>
      <c r="B26" s="481" t="s">
        <v>492</v>
      </c>
      <c r="C26" s="545" t="s">
        <v>97</v>
      </c>
      <c r="D26" s="555"/>
      <c r="E26" s="546" t="s">
        <v>98</v>
      </c>
      <c r="F26" s="547" t="s">
        <v>12</v>
      </c>
    </row>
    <row r="27" spans="1:6" ht="15.75" thickTop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DA69-DA6D-456C-8CAD-1A46E3897007}">
  <dimension ref="B1:I32"/>
  <sheetViews>
    <sheetView zoomScaleNormal="100" workbookViewId="0">
      <selection activeCell="H24" sqref="H24"/>
    </sheetView>
  </sheetViews>
  <sheetFormatPr defaultRowHeight="15" x14ac:dyDescent="0.25"/>
  <cols>
    <col min="2" max="2" width="25" bestFit="1" customWidth="1"/>
    <col min="3" max="3" width="22.7109375" bestFit="1" customWidth="1"/>
    <col min="5" max="5" width="37.140625" bestFit="1" customWidth="1"/>
    <col min="6" max="6" width="22.7109375" bestFit="1" customWidth="1"/>
    <col min="8" max="8" width="31.7109375" bestFit="1" customWidth="1"/>
    <col min="9" max="9" width="22.7109375" bestFit="1" customWidth="1"/>
  </cols>
  <sheetData>
    <row r="1" spans="2:9" ht="15.75" thickBot="1" x14ac:dyDescent="0.3"/>
    <row r="2" spans="2:9" ht="17.25" thickTop="1" thickBot="1" x14ac:dyDescent="0.3">
      <c r="B2" s="349"/>
      <c r="C2" s="578" t="s">
        <v>464</v>
      </c>
      <c r="D2" s="435"/>
      <c r="E2" s="435"/>
      <c r="F2" s="579" t="s">
        <v>464</v>
      </c>
      <c r="G2" s="435"/>
      <c r="H2" s="349"/>
      <c r="I2" s="579" t="s">
        <v>464</v>
      </c>
    </row>
    <row r="3" spans="2:9" ht="17.25" thickTop="1" thickBot="1" x14ac:dyDescent="0.3">
      <c r="B3" s="480" t="s">
        <v>476</v>
      </c>
      <c r="C3" s="616" t="s">
        <v>174</v>
      </c>
      <c r="D3" s="435"/>
      <c r="E3" s="559" t="s">
        <v>229</v>
      </c>
      <c r="F3" s="608" t="s">
        <v>182</v>
      </c>
      <c r="G3" s="435"/>
      <c r="H3" s="575" t="s">
        <v>493</v>
      </c>
      <c r="I3" s="626" t="s">
        <v>173</v>
      </c>
    </row>
    <row r="4" spans="2:9" ht="17.25" thickTop="1" thickBot="1" x14ac:dyDescent="0.3">
      <c r="B4" s="557" t="s">
        <v>477</v>
      </c>
      <c r="C4" s="617" t="s">
        <v>175</v>
      </c>
      <c r="D4" s="435"/>
      <c r="E4" s="560" t="s">
        <v>423</v>
      </c>
      <c r="F4" s="609" t="s">
        <v>179</v>
      </c>
      <c r="G4" s="435"/>
      <c r="H4" s="576" t="s">
        <v>494</v>
      </c>
      <c r="I4" s="627" t="s">
        <v>14</v>
      </c>
    </row>
    <row r="5" spans="2:9" ht="17.25" thickTop="1" thickBot="1" x14ac:dyDescent="0.3">
      <c r="B5" s="479" t="s">
        <v>478</v>
      </c>
      <c r="C5" s="610" t="s">
        <v>174</v>
      </c>
      <c r="D5" s="435"/>
      <c r="E5" s="561" t="s">
        <v>424</v>
      </c>
      <c r="F5" s="610" t="s">
        <v>180</v>
      </c>
      <c r="G5" s="435"/>
      <c r="H5" s="577"/>
      <c r="I5" s="620"/>
    </row>
    <row r="6" spans="2:9" ht="17.25" thickTop="1" thickBot="1" x14ac:dyDescent="0.3">
      <c r="B6" s="480" t="s">
        <v>479</v>
      </c>
      <c r="C6" s="611" t="s">
        <v>175</v>
      </c>
      <c r="D6" s="435"/>
      <c r="E6" s="560" t="s">
        <v>425</v>
      </c>
      <c r="F6" s="611" t="s">
        <v>180</v>
      </c>
      <c r="G6" s="435"/>
      <c r="H6" s="480" t="s">
        <v>488</v>
      </c>
      <c r="I6" s="621" t="s">
        <v>17</v>
      </c>
    </row>
    <row r="7" spans="2:9" ht="17.25" thickTop="1" thickBot="1" x14ac:dyDescent="0.3">
      <c r="B7" s="480" t="s">
        <v>480</v>
      </c>
      <c r="C7" s="618" t="s">
        <v>175</v>
      </c>
      <c r="D7" s="435"/>
      <c r="E7" s="561" t="s">
        <v>426</v>
      </c>
      <c r="F7" s="610" t="s">
        <v>179</v>
      </c>
      <c r="G7" s="435"/>
      <c r="H7" s="574" t="s">
        <v>489</v>
      </c>
      <c r="I7" s="628" t="s">
        <v>17</v>
      </c>
    </row>
    <row r="8" spans="2:9" ht="17.25" thickTop="1" thickBot="1" x14ac:dyDescent="0.3">
      <c r="B8" s="480" t="s">
        <v>481</v>
      </c>
      <c r="C8" s="619" t="s">
        <v>176</v>
      </c>
      <c r="D8" s="435"/>
      <c r="E8" s="562" t="s">
        <v>427</v>
      </c>
      <c r="F8" s="611" t="s">
        <v>179</v>
      </c>
      <c r="G8" s="435"/>
      <c r="H8" s="435"/>
      <c r="I8" s="435"/>
    </row>
    <row r="9" spans="2:9" ht="17.25" thickTop="1" thickBot="1" x14ac:dyDescent="0.3">
      <c r="B9" s="480" t="s">
        <v>482</v>
      </c>
      <c r="C9" s="610" t="s">
        <v>177</v>
      </c>
      <c r="D9" s="435"/>
      <c r="E9" s="560" t="s">
        <v>428</v>
      </c>
      <c r="F9" s="608" t="s">
        <v>181</v>
      </c>
      <c r="G9" s="435"/>
      <c r="H9" s="435"/>
      <c r="I9" s="435"/>
    </row>
    <row r="10" spans="2:9" ht="17.25" thickTop="1" thickBot="1" x14ac:dyDescent="0.3">
      <c r="B10" s="558"/>
      <c r="C10" s="620"/>
      <c r="D10" s="435"/>
      <c r="E10" s="560" t="s">
        <v>429</v>
      </c>
      <c r="F10" s="612" t="s">
        <v>181</v>
      </c>
      <c r="G10" s="435"/>
      <c r="H10" s="435"/>
      <c r="I10" s="435"/>
    </row>
    <row r="11" spans="2:9" ht="17.25" thickTop="1" thickBot="1" x14ac:dyDescent="0.3">
      <c r="B11" s="480" t="s">
        <v>483</v>
      </c>
      <c r="C11" s="619" t="s">
        <v>178</v>
      </c>
      <c r="D11" s="435"/>
      <c r="E11" s="561" t="s">
        <v>430</v>
      </c>
      <c r="F11" s="608" t="s">
        <v>181</v>
      </c>
      <c r="G11" s="435"/>
      <c r="H11" s="435"/>
      <c r="I11" s="435"/>
    </row>
    <row r="12" spans="2:9" ht="17.25" thickTop="1" thickBot="1" x14ac:dyDescent="0.3">
      <c r="B12" s="480" t="s">
        <v>484</v>
      </c>
      <c r="C12" s="621" t="s">
        <v>178</v>
      </c>
      <c r="D12" s="435"/>
      <c r="E12" s="560" t="s">
        <v>431</v>
      </c>
      <c r="F12" s="612" t="s">
        <v>181</v>
      </c>
      <c r="G12" s="435"/>
      <c r="H12" s="435"/>
      <c r="I12" s="435"/>
    </row>
    <row r="13" spans="2:9" ht="17.25" thickTop="1" thickBot="1" x14ac:dyDescent="0.3">
      <c r="B13" s="480" t="s">
        <v>485</v>
      </c>
      <c r="C13" s="619" t="s">
        <v>178</v>
      </c>
      <c r="D13" s="435"/>
      <c r="E13" s="563" t="s">
        <v>449</v>
      </c>
      <c r="F13" s="608" t="s">
        <v>181</v>
      </c>
      <c r="G13" s="435"/>
      <c r="H13" s="435"/>
      <c r="I13" s="435"/>
    </row>
    <row r="14" spans="2:9" ht="17.25" thickTop="1" thickBot="1" x14ac:dyDescent="0.3">
      <c r="B14" s="558"/>
      <c r="C14" s="622"/>
      <c r="D14" s="435"/>
      <c r="E14" s="564" t="s">
        <v>433</v>
      </c>
      <c r="F14" s="613" t="s">
        <v>181</v>
      </c>
      <c r="G14" s="435"/>
      <c r="H14" s="435"/>
      <c r="I14" s="435"/>
    </row>
    <row r="15" spans="2:9" ht="17.25" thickTop="1" thickBot="1" x14ac:dyDescent="0.3">
      <c r="B15" s="480" t="s">
        <v>486</v>
      </c>
      <c r="C15" s="619" t="s">
        <v>15</v>
      </c>
      <c r="D15" s="435"/>
      <c r="E15" s="565" t="s">
        <v>434</v>
      </c>
      <c r="F15" s="608" t="s">
        <v>180</v>
      </c>
      <c r="G15" s="435"/>
      <c r="H15" s="435"/>
      <c r="I15" s="435"/>
    </row>
    <row r="16" spans="2:9" ht="17.25" thickTop="1" thickBot="1" x14ac:dyDescent="0.3">
      <c r="B16" s="480" t="s">
        <v>214</v>
      </c>
      <c r="C16" s="621" t="s">
        <v>19</v>
      </c>
      <c r="D16" s="556"/>
      <c r="E16" s="566" t="s">
        <v>435</v>
      </c>
      <c r="F16" s="612" t="s">
        <v>181</v>
      </c>
      <c r="G16" s="435"/>
      <c r="H16" s="435"/>
      <c r="I16" s="435"/>
    </row>
    <row r="17" spans="2:9" ht="17.25" thickTop="1" thickBot="1" x14ac:dyDescent="0.3">
      <c r="B17" s="480" t="s">
        <v>213</v>
      </c>
      <c r="C17" s="619" t="s">
        <v>22</v>
      </c>
      <c r="D17" s="556"/>
      <c r="E17" s="567" t="s">
        <v>436</v>
      </c>
      <c r="F17" s="610" t="s">
        <v>180</v>
      </c>
      <c r="G17" s="435"/>
      <c r="H17" s="435"/>
      <c r="I17" s="435"/>
    </row>
    <row r="18" spans="2:9" ht="17.25" thickTop="1" thickBot="1" x14ac:dyDescent="0.3">
      <c r="B18" s="480" t="s">
        <v>487</v>
      </c>
      <c r="C18" s="621" t="s">
        <v>6</v>
      </c>
      <c r="D18" s="556"/>
      <c r="E18" s="568" t="s">
        <v>437</v>
      </c>
      <c r="F18" s="612" t="s">
        <v>181</v>
      </c>
      <c r="G18" s="435"/>
      <c r="H18" s="435"/>
      <c r="I18" s="435"/>
    </row>
    <row r="19" spans="2:9" ht="17.25" thickTop="1" thickBot="1" x14ac:dyDescent="0.3">
      <c r="B19" s="480" t="s">
        <v>122</v>
      </c>
      <c r="C19" s="619" t="s">
        <v>4</v>
      </c>
      <c r="D19" s="556"/>
      <c r="E19" s="569" t="s">
        <v>438</v>
      </c>
      <c r="F19" s="608" t="s">
        <v>179</v>
      </c>
      <c r="G19" s="435"/>
      <c r="H19" s="435"/>
      <c r="I19" s="435"/>
    </row>
    <row r="20" spans="2:9" ht="17.25" thickTop="1" thickBot="1" x14ac:dyDescent="0.3">
      <c r="B20" s="558"/>
      <c r="C20" s="622"/>
      <c r="D20" s="556"/>
      <c r="E20" s="570" t="s">
        <v>24</v>
      </c>
      <c r="F20" s="612" t="s">
        <v>181</v>
      </c>
      <c r="G20" s="435"/>
      <c r="H20" s="435"/>
      <c r="I20" s="435"/>
    </row>
    <row r="21" spans="2:9" ht="17.25" thickTop="1" thickBot="1" x14ac:dyDescent="0.3">
      <c r="B21" s="480" t="s">
        <v>488</v>
      </c>
      <c r="C21" s="619" t="s">
        <v>17</v>
      </c>
      <c r="D21" s="556"/>
      <c r="E21" s="571" t="s">
        <v>439</v>
      </c>
      <c r="F21" s="608" t="s">
        <v>178</v>
      </c>
      <c r="G21" s="435"/>
      <c r="H21" s="435"/>
      <c r="I21" s="435"/>
    </row>
    <row r="22" spans="2:9" ht="17.25" thickTop="1" thickBot="1" x14ac:dyDescent="0.3">
      <c r="B22" s="480" t="s">
        <v>489</v>
      </c>
      <c r="C22" s="610" t="s">
        <v>17</v>
      </c>
      <c r="D22" s="556"/>
      <c r="E22" s="568" t="s">
        <v>440</v>
      </c>
      <c r="F22" s="612" t="s">
        <v>416</v>
      </c>
      <c r="G22" s="435"/>
      <c r="H22" s="435"/>
      <c r="I22" s="435"/>
    </row>
    <row r="23" spans="2:9" ht="17.25" thickTop="1" thickBot="1" x14ac:dyDescent="0.3">
      <c r="B23" s="480" t="s">
        <v>476</v>
      </c>
      <c r="C23" s="611" t="s">
        <v>2</v>
      </c>
      <c r="D23" s="556"/>
      <c r="E23" s="564" t="s">
        <v>441</v>
      </c>
      <c r="F23" s="614" t="s">
        <v>176</v>
      </c>
      <c r="G23" s="435"/>
      <c r="H23" s="435"/>
      <c r="I23" s="435"/>
    </row>
    <row r="24" spans="2:9" ht="17.25" thickTop="1" thickBot="1" x14ac:dyDescent="0.3">
      <c r="B24" s="558"/>
      <c r="C24" s="623"/>
      <c r="D24" s="556"/>
      <c r="E24" s="572" t="s">
        <v>442</v>
      </c>
      <c r="F24" s="612" t="s">
        <v>180</v>
      </c>
      <c r="G24" s="435"/>
      <c r="H24" s="435"/>
      <c r="I24" s="435"/>
    </row>
    <row r="25" spans="2:9" ht="17.25" thickTop="1" thickBot="1" x14ac:dyDescent="0.3">
      <c r="B25" s="557" t="s">
        <v>490</v>
      </c>
      <c r="C25" s="624" t="s">
        <v>2</v>
      </c>
      <c r="D25" s="556"/>
      <c r="E25" s="480" t="s">
        <v>443</v>
      </c>
      <c r="F25" s="610" t="s">
        <v>179</v>
      </c>
      <c r="G25" s="435"/>
      <c r="H25" s="435"/>
      <c r="I25" s="435"/>
    </row>
    <row r="26" spans="2:9" ht="17.25" thickTop="1" thickBot="1" x14ac:dyDescent="0.3">
      <c r="B26" s="480" t="s">
        <v>491</v>
      </c>
      <c r="C26" s="625" t="s">
        <v>4</v>
      </c>
      <c r="D26" s="435"/>
      <c r="E26" s="480" t="s">
        <v>444</v>
      </c>
      <c r="F26" s="611" t="s">
        <v>178</v>
      </c>
      <c r="G26" s="435"/>
      <c r="H26" s="435"/>
      <c r="I26" s="435"/>
    </row>
    <row r="27" spans="2:9" ht="17.25" thickTop="1" thickBot="1" x14ac:dyDescent="0.3">
      <c r="B27" s="481" t="s">
        <v>492</v>
      </c>
      <c r="C27" s="613" t="s">
        <v>12</v>
      </c>
      <c r="D27" s="435"/>
      <c r="E27" s="573" t="s">
        <v>445</v>
      </c>
      <c r="F27" s="608" t="s">
        <v>179</v>
      </c>
      <c r="G27" s="435"/>
      <c r="H27" s="435"/>
      <c r="I27" s="435"/>
    </row>
    <row r="28" spans="2:9" ht="17.25" thickTop="1" thickBot="1" x14ac:dyDescent="0.3">
      <c r="B28" s="435"/>
      <c r="C28" s="435"/>
      <c r="D28" s="435"/>
      <c r="E28" s="480" t="s">
        <v>450</v>
      </c>
      <c r="F28" s="611" t="s">
        <v>180</v>
      </c>
      <c r="G28" s="435"/>
      <c r="H28" s="435"/>
      <c r="I28" s="435"/>
    </row>
    <row r="29" spans="2:9" ht="17.25" thickTop="1" thickBot="1" x14ac:dyDescent="0.3">
      <c r="B29" s="435"/>
      <c r="C29" s="435"/>
      <c r="D29" s="435"/>
      <c r="E29" s="480" t="s">
        <v>447</v>
      </c>
      <c r="F29" s="610" t="s">
        <v>179</v>
      </c>
      <c r="G29" s="435"/>
      <c r="H29" s="435"/>
      <c r="I29" s="435"/>
    </row>
    <row r="30" spans="2:9" ht="17.25" thickTop="1" thickBot="1" x14ac:dyDescent="0.3">
      <c r="B30" s="435"/>
      <c r="C30" s="435"/>
      <c r="D30" s="435"/>
      <c r="E30" s="480" t="s">
        <v>448</v>
      </c>
      <c r="F30" s="611" t="s">
        <v>178</v>
      </c>
      <c r="G30" s="435"/>
      <c r="H30" s="435"/>
      <c r="I30" s="435"/>
    </row>
    <row r="31" spans="2:9" ht="17.25" thickTop="1" thickBot="1" x14ac:dyDescent="0.3">
      <c r="B31" s="435"/>
      <c r="C31" s="435"/>
      <c r="D31" s="435"/>
      <c r="E31" s="574" t="s">
        <v>451</v>
      </c>
      <c r="F31" s="615" t="s">
        <v>179</v>
      </c>
      <c r="G31" s="435"/>
      <c r="H31" s="435"/>
      <c r="I31" s="435"/>
    </row>
    <row r="32" spans="2:9" ht="15.75" thickTop="1" x14ac:dyDescent="0.25">
      <c r="B32" s="435"/>
      <c r="C32" s="435"/>
      <c r="D32" s="435"/>
      <c r="E32" s="435"/>
      <c r="F32" s="435"/>
      <c r="G32" s="435"/>
      <c r="H32" s="435"/>
      <c r="I32" s="4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7ADE-2ADA-40B6-ADD5-8EC840D16396}">
  <dimension ref="A1:AO95"/>
  <sheetViews>
    <sheetView topLeftCell="A31" workbookViewId="0">
      <selection activeCell="F23" sqref="F23"/>
    </sheetView>
  </sheetViews>
  <sheetFormatPr defaultRowHeight="15" x14ac:dyDescent="0.25"/>
  <cols>
    <col min="2" max="2" width="41" bestFit="1" customWidth="1"/>
    <col min="3" max="3" width="18.42578125" bestFit="1" customWidth="1"/>
    <col min="4" max="4" width="0.42578125" hidden="1" customWidth="1"/>
    <col min="5" max="5" width="18.7109375" bestFit="1" customWidth="1"/>
    <col min="6" max="6" width="7.140625" bestFit="1" customWidth="1"/>
    <col min="7" max="7" width="10.42578125" bestFit="1" customWidth="1"/>
    <col min="8" max="8" width="14.42578125" bestFit="1" customWidth="1"/>
    <col min="9" max="9" width="14.5703125" bestFit="1" customWidth="1"/>
    <col min="10" max="10" width="11.42578125" bestFit="1" customWidth="1"/>
    <col min="11" max="11" width="19.42578125" bestFit="1" customWidth="1"/>
    <col min="12" max="12" width="167.7109375" bestFit="1" customWidth="1"/>
    <col min="13" max="13" width="28.7109375" bestFit="1" customWidth="1"/>
    <col min="15" max="15" width="30" bestFit="1" customWidth="1"/>
  </cols>
  <sheetData>
    <row r="1" spans="1:41" ht="17.25" thickTop="1" thickBot="1" x14ac:dyDescent="0.3">
      <c r="A1" s="435"/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Q1" s="347" t="s">
        <v>168</v>
      </c>
      <c r="R1" s="347"/>
      <c r="Z1" s="239" t="s">
        <v>183</v>
      </c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</row>
    <row r="2" spans="1:41" ht="16.5" customHeight="1" thickTop="1" thickBot="1" x14ac:dyDescent="0.3">
      <c r="A2" s="435"/>
      <c r="B2" s="349"/>
      <c r="C2" s="412" t="s">
        <v>191</v>
      </c>
      <c r="D2" s="413" t="s">
        <v>192</v>
      </c>
      <c r="E2" s="413" t="s">
        <v>461</v>
      </c>
      <c r="F2" s="414" t="s">
        <v>462</v>
      </c>
      <c r="G2" s="414" t="s">
        <v>187</v>
      </c>
      <c r="H2" s="415" t="s">
        <v>186</v>
      </c>
      <c r="I2" s="414" t="s">
        <v>185</v>
      </c>
      <c r="J2" s="416" t="s">
        <v>463</v>
      </c>
      <c r="K2" s="416" t="s">
        <v>172</v>
      </c>
      <c r="L2" s="414" t="s">
        <v>171</v>
      </c>
      <c r="M2" s="417" t="s">
        <v>422</v>
      </c>
      <c r="O2" s="504" t="s">
        <v>229</v>
      </c>
      <c r="Q2" t="s">
        <v>194</v>
      </c>
      <c r="R2" t="s">
        <v>193</v>
      </c>
      <c r="U2" t="s">
        <v>209</v>
      </c>
      <c r="V2" t="s">
        <v>210</v>
      </c>
      <c r="Z2" s="221" t="s">
        <v>200</v>
      </c>
      <c r="AA2" s="222"/>
      <c r="AB2" s="176" t="s">
        <v>201</v>
      </c>
      <c r="AC2" s="54" t="b">
        <f>Ekwipunek!O20</f>
        <v>0</v>
      </c>
      <c r="AD2" s="221" t="s">
        <v>202</v>
      </c>
      <c r="AE2" s="222"/>
      <c r="AF2" s="176" t="s">
        <v>201</v>
      </c>
      <c r="AG2" s="54" t="b">
        <f>Ekwipunek!S20</f>
        <v>0</v>
      </c>
      <c r="AH2" s="221" t="s">
        <v>203</v>
      </c>
      <c r="AI2" s="222"/>
      <c r="AJ2" s="176" t="s">
        <v>201</v>
      </c>
      <c r="AK2" s="54" t="b">
        <f>Ekwipunek!W20</f>
        <v>0</v>
      </c>
      <c r="AL2" s="221" t="s">
        <v>204</v>
      </c>
      <c r="AM2" s="222"/>
      <c r="AN2" s="176" t="s">
        <v>201</v>
      </c>
      <c r="AO2" s="54" t="b">
        <f>Ekwipunek!AA20</f>
        <v>0</v>
      </c>
    </row>
    <row r="3" spans="1:41" ht="16.5" thickTop="1" thickBot="1" x14ac:dyDescent="0.3">
      <c r="A3" s="435"/>
      <c r="B3" s="482" t="s">
        <v>229</v>
      </c>
      <c r="C3" s="350">
        <v>0</v>
      </c>
      <c r="D3" s="350">
        <f>COUNT(C3:C6)</f>
        <v>4</v>
      </c>
      <c r="E3" s="351" t="s">
        <v>228</v>
      </c>
      <c r="F3" s="352">
        <v>0.5</v>
      </c>
      <c r="G3" s="352" t="s">
        <v>246</v>
      </c>
      <c r="H3" s="352" t="s">
        <v>34</v>
      </c>
      <c r="I3" s="352" t="s">
        <v>35</v>
      </c>
      <c r="J3" s="352">
        <v>1</v>
      </c>
      <c r="K3" s="352" t="s">
        <v>195</v>
      </c>
      <c r="L3" s="353" t="s">
        <v>236</v>
      </c>
      <c r="M3" s="354"/>
      <c r="O3" s="505" t="s">
        <v>423</v>
      </c>
      <c r="Q3" cm="1">
        <f t="array" aca="1" ref="Q3:Q6" ca="1">OFFSET(_xlfn.XLOOKUP(Ekwipunek!H8,Obl!$B$3:$B$94,Obl!$C$3:$C$94),0,0,_xlfn.XLOOKUP(Ekwipunek!H8,Obl!$B$3:$B$94,$D$3:$D$94))</f>
        <v>0</v>
      </c>
      <c r="R3">
        <v>0</v>
      </c>
      <c r="T3" t="s">
        <v>205</v>
      </c>
      <c r="U3">
        <f ca="1">Ekwipunek!O27</f>
        <v>0.5</v>
      </c>
      <c r="V3" t="b">
        <f>Ekwipunek!O20</f>
        <v>0</v>
      </c>
      <c r="W3">
        <f>IF(V3=TRUE,U3,0)</f>
        <v>0</v>
      </c>
      <c r="Z3" s="225" t="s">
        <v>190</v>
      </c>
      <c r="AA3" s="226"/>
      <c r="AB3" s="223">
        <f>Ekwipunek!N21</f>
        <v>0</v>
      </c>
      <c r="AC3" s="224"/>
      <c r="AD3" s="225" t="s">
        <v>190</v>
      </c>
      <c r="AE3" s="226"/>
      <c r="AF3" s="340">
        <f>Ekwipunek!R21</f>
        <v>7</v>
      </c>
      <c r="AG3" s="224"/>
      <c r="AH3" s="225" t="s">
        <v>190</v>
      </c>
      <c r="AI3" s="226"/>
      <c r="AJ3" s="340">
        <f>Ekwipunek!V21</f>
        <v>0</v>
      </c>
      <c r="AK3" s="224"/>
      <c r="AL3" s="225" t="s">
        <v>190</v>
      </c>
      <c r="AM3" s="226"/>
      <c r="AN3" s="340">
        <f>Ekwipunek!Z21</f>
        <v>0</v>
      </c>
      <c r="AO3" s="224"/>
    </row>
    <row r="4" spans="1:41" ht="16.5" customHeight="1" thickTop="1" thickBot="1" x14ac:dyDescent="0.3">
      <c r="A4" s="435"/>
      <c r="B4" s="429"/>
      <c r="C4" s="355">
        <v>3</v>
      </c>
      <c r="D4" s="355"/>
      <c r="E4" s="356" t="s">
        <v>231</v>
      </c>
      <c r="F4" s="357">
        <v>0.5</v>
      </c>
      <c r="G4" s="357" t="s">
        <v>246</v>
      </c>
      <c r="H4" s="357" t="s">
        <v>34</v>
      </c>
      <c r="I4" s="357" t="s">
        <v>232</v>
      </c>
      <c r="J4" s="357">
        <v>1</v>
      </c>
      <c r="K4" s="357" t="s">
        <v>195</v>
      </c>
      <c r="L4" s="358" t="s">
        <v>237</v>
      </c>
      <c r="M4" s="359"/>
      <c r="O4" s="506" t="s">
        <v>424</v>
      </c>
      <c r="Q4">
        <f ca="1"/>
        <v>3</v>
      </c>
      <c r="R4">
        <v>1</v>
      </c>
      <c r="T4" t="s">
        <v>206</v>
      </c>
      <c r="U4" t="str">
        <f>Ekwipunek!S27</f>
        <v/>
      </c>
      <c r="V4" t="b">
        <f>Ekwipunek!S20</f>
        <v>0</v>
      </c>
      <c r="W4">
        <f t="shared" ref="W4:W7" si="0">IF(V4=TRUE,U4,0)</f>
        <v>0</v>
      </c>
      <c r="Z4" s="233" t="str" cm="1">
        <f t="array" aca="1" ref="Z4" ca="1">INDEX($B$3:$M$94,MATCH(Ekwipunek!$H$8,Obl!$B$3:$B$94,0)+_xlfn.XLOOKUP(AB$3,Obl!$Q$3:$Q$10,Obl!$R$3:$R$10,,-1),4)</f>
        <v>Prosty</v>
      </c>
      <c r="AA4" s="234"/>
      <c r="AB4" s="234"/>
      <c r="AC4" s="235"/>
      <c r="AD4" s="341" t="str" cm="1">
        <f t="array" aca="1" ref="AD4" ca="1">INDEX($B$3:$M$94,MATCH(Ekwipunek!$H$8,Obl!$B$3:$B$94,0)+_xlfn.XLOOKUP(AF$3,Obl!$Q$3:$Q$10,Obl!$R$3:$R$10,,-1),4)</f>
        <v>Sierpowy</v>
      </c>
      <c r="AE4" s="342"/>
      <c r="AF4" s="342"/>
      <c r="AG4" s="343"/>
      <c r="AH4" s="233" t="str" cm="1">
        <f t="array" aca="1" ref="AH4" ca="1">INDEX($B$3:$M$94,MATCH(Ekwipunek!$H$8,Obl!$B$3:$B$94,0)+_xlfn.XLOOKUP(AJ$3,Obl!$Q$3:$Q$10,Obl!$R$3:$R$10,,-1),4)</f>
        <v>Prosty</v>
      </c>
      <c r="AI4" s="234"/>
      <c r="AJ4" s="234"/>
      <c r="AK4" s="235"/>
      <c r="AL4" s="233" t="str" cm="1">
        <f t="array" aca="1" ref="AL4" ca="1">INDEX($B$3:$M$94,MATCH(Ekwipunek!$H$8,Obl!$B$3:$B$94,0)+_xlfn.XLOOKUP(AN$3,Obl!$Q$3:$Q$10,Obl!$R$3:$R$10,,-1),4)</f>
        <v>Prosty</v>
      </c>
      <c r="AM4" s="234"/>
      <c r="AN4" s="234"/>
      <c r="AO4" s="235"/>
    </row>
    <row r="5" spans="1:41" ht="16.5" customHeight="1" thickBot="1" x14ac:dyDescent="0.3">
      <c r="A5" s="435"/>
      <c r="B5" s="429"/>
      <c r="C5" s="360">
        <v>8</v>
      </c>
      <c r="D5" s="360"/>
      <c r="E5" s="361" t="s">
        <v>233</v>
      </c>
      <c r="F5" s="362">
        <v>0.5</v>
      </c>
      <c r="G5" s="362" t="s">
        <v>246</v>
      </c>
      <c r="H5" s="362" t="s">
        <v>234</v>
      </c>
      <c r="I5" s="362" t="s">
        <v>35</v>
      </c>
      <c r="J5" s="362">
        <v>1</v>
      </c>
      <c r="K5" s="362" t="s">
        <v>235</v>
      </c>
      <c r="L5" s="363" t="s">
        <v>459</v>
      </c>
      <c r="M5" s="359"/>
      <c r="O5" s="505" t="s">
        <v>425</v>
      </c>
      <c r="Q5">
        <f ca="1"/>
        <v>8</v>
      </c>
      <c r="R5">
        <v>2</v>
      </c>
      <c r="Z5" s="218"/>
      <c r="AA5" s="219"/>
      <c r="AB5" s="219"/>
      <c r="AC5" s="220"/>
      <c r="AD5" s="218"/>
      <c r="AE5" s="219"/>
      <c r="AF5" s="219"/>
      <c r="AG5" s="220"/>
      <c r="AH5" s="218"/>
      <c r="AI5" s="219"/>
      <c r="AJ5" s="219"/>
      <c r="AK5" s="220"/>
      <c r="AL5" s="218"/>
      <c r="AM5" s="219"/>
      <c r="AN5" s="219"/>
      <c r="AO5" s="220"/>
    </row>
    <row r="6" spans="1:41" ht="16.5" customHeight="1" thickBot="1" x14ac:dyDescent="0.3">
      <c r="A6" s="435"/>
      <c r="B6" s="483"/>
      <c r="C6" s="364">
        <v>10</v>
      </c>
      <c r="D6" s="364"/>
      <c r="E6" s="365" t="s">
        <v>230</v>
      </c>
      <c r="F6" s="366">
        <v>1</v>
      </c>
      <c r="G6" s="366" t="s">
        <v>246</v>
      </c>
      <c r="H6" s="366" t="s">
        <v>34</v>
      </c>
      <c r="I6" s="367" t="s">
        <v>35</v>
      </c>
      <c r="J6" s="367">
        <v>1</v>
      </c>
      <c r="K6" s="367" t="s">
        <v>260</v>
      </c>
      <c r="L6" s="366" t="s">
        <v>238</v>
      </c>
      <c r="M6" s="368"/>
      <c r="N6" s="5"/>
      <c r="O6" s="506" t="s">
        <v>426</v>
      </c>
      <c r="Q6">
        <f ca="1"/>
        <v>10</v>
      </c>
      <c r="R6">
        <v>3</v>
      </c>
      <c r="T6" t="s">
        <v>207</v>
      </c>
      <c r="U6" t="str">
        <f>Ekwipunek!W27</f>
        <v/>
      </c>
      <c r="V6" t="b">
        <f>Ekwipunek!W20</f>
        <v>0</v>
      </c>
      <c r="W6">
        <f t="shared" si="0"/>
        <v>0</v>
      </c>
      <c r="Z6" s="227" t="str" cm="1">
        <f t="array" aca="1" ref="Z6" ca="1">INDEX($B$3:$M$94,MATCH(Ekwipunek!$H$8,Obl!$B$3:$B$94,0)+_xlfn.XLOOKUP(AB$3,Obl!$Q$3:$Q$10,Obl!$R$3:$R$10,,-1),11)</f>
        <v>Zwykły, chamski atak</v>
      </c>
      <c r="AA6" s="228"/>
      <c r="AB6" s="228"/>
      <c r="AC6" s="229"/>
      <c r="AD6" s="230" t="str" cm="1">
        <f t="array" aca="1" ref="AD6" ca="1">INDEX($B$3:$M$94,MATCH(Ekwipunek!$H$8,Obl!$B$3:$B$94,0)+_xlfn.XLOOKUP(AF$3,Obl!$Q$3:$Q$10,Obl!$R$3:$R$10,,-1),11)</f>
        <v>Twój dex wlicza się do wyrzuconej kostki na trafienie (np. 17+3dex = kryt)</v>
      </c>
      <c r="AE6" s="231"/>
      <c r="AF6" s="231"/>
      <c r="AG6" s="232"/>
      <c r="AH6" s="227" t="str" cm="1">
        <f t="array" aca="1" ref="AH6" ca="1">INDEX($B$3:$M$94,MATCH(Ekwipunek!$H$8,Obl!$B$3:$B$94,0)+_xlfn.XLOOKUP(AJ$3,Obl!$Q$3:$Q$10,Obl!$R$3:$R$10,,-1),11)</f>
        <v>Zwykły, chamski atak</v>
      </c>
      <c r="AI6" s="228"/>
      <c r="AJ6" s="228"/>
      <c r="AK6" s="229"/>
      <c r="AL6" s="227" t="str" cm="1">
        <f t="array" aca="1" ref="AL6" ca="1">INDEX($B$3:$M$94,MATCH(Ekwipunek!$H$8,Obl!$B$3:$B$94,0)+_xlfn.XLOOKUP(AN$3,Obl!$Q$3:$Q$10,Obl!$R$3:$R$10,,-1),11)</f>
        <v>Zwykły, chamski atak</v>
      </c>
      <c r="AM6" s="228"/>
      <c r="AN6" s="228"/>
      <c r="AO6" s="229"/>
    </row>
    <row r="7" spans="1:41" ht="16.5" customHeight="1" thickTop="1" x14ac:dyDescent="0.25">
      <c r="A7" s="435"/>
      <c r="B7" s="428" t="s">
        <v>423</v>
      </c>
      <c r="C7" s="350">
        <v>0</v>
      </c>
      <c r="D7" s="350">
        <f>COUNT(C7:C9)</f>
        <v>3</v>
      </c>
      <c r="E7" s="351" t="s">
        <v>239</v>
      </c>
      <c r="F7" s="352">
        <v>1</v>
      </c>
      <c r="G7" s="352" t="s">
        <v>246</v>
      </c>
      <c r="H7" s="352" t="s">
        <v>34</v>
      </c>
      <c r="I7" s="352" t="s">
        <v>40</v>
      </c>
      <c r="J7" s="352">
        <v>1</v>
      </c>
      <c r="K7" s="352" t="s">
        <v>195</v>
      </c>
      <c r="L7" s="353" t="s">
        <v>244</v>
      </c>
      <c r="M7" s="369">
        <v>6</v>
      </c>
      <c r="O7" s="507" t="s">
        <v>427</v>
      </c>
      <c r="R7">
        <v>4</v>
      </c>
      <c r="T7" t="s">
        <v>208</v>
      </c>
      <c r="U7" t="str">
        <f>Ekwipunek!AA27</f>
        <v/>
      </c>
      <c r="V7" t="b">
        <f>Ekwipunek!AA20</f>
        <v>0</v>
      </c>
      <c r="W7">
        <f t="shared" si="0"/>
        <v>0</v>
      </c>
      <c r="Z7" s="230"/>
      <c r="AA7" s="231"/>
      <c r="AB7" s="231"/>
      <c r="AC7" s="232"/>
      <c r="AD7" s="230"/>
      <c r="AE7" s="231"/>
      <c r="AF7" s="231"/>
      <c r="AG7" s="232"/>
      <c r="AH7" s="230"/>
      <c r="AI7" s="231"/>
      <c r="AJ7" s="231"/>
      <c r="AK7" s="232"/>
      <c r="AL7" s="230"/>
      <c r="AM7" s="231"/>
      <c r="AN7" s="231"/>
      <c r="AO7" s="232"/>
    </row>
    <row r="8" spans="1:41" ht="16.5" customHeight="1" x14ac:dyDescent="0.25">
      <c r="A8" s="435"/>
      <c r="B8" s="429"/>
      <c r="C8" s="355">
        <v>5</v>
      </c>
      <c r="D8" s="355"/>
      <c r="E8" s="356" t="s">
        <v>240</v>
      </c>
      <c r="F8" s="357">
        <v>1</v>
      </c>
      <c r="G8" s="357" t="s">
        <v>246</v>
      </c>
      <c r="H8" s="357" t="s">
        <v>34</v>
      </c>
      <c r="I8" s="357" t="s">
        <v>36</v>
      </c>
      <c r="J8" s="357">
        <v>1</v>
      </c>
      <c r="K8" s="357" t="s">
        <v>243</v>
      </c>
      <c r="L8" s="358" t="s">
        <v>245</v>
      </c>
      <c r="M8" s="359"/>
      <c r="O8" s="505" t="s">
        <v>428</v>
      </c>
      <c r="R8">
        <v>5</v>
      </c>
      <c r="Z8" s="230"/>
      <c r="AA8" s="231"/>
      <c r="AB8" s="231"/>
      <c r="AC8" s="232"/>
      <c r="AD8" s="230"/>
      <c r="AE8" s="231"/>
      <c r="AF8" s="231"/>
      <c r="AG8" s="232"/>
      <c r="AH8" s="230"/>
      <c r="AI8" s="231"/>
      <c r="AJ8" s="231"/>
      <c r="AK8" s="232"/>
      <c r="AL8" s="230"/>
      <c r="AM8" s="231"/>
      <c r="AN8" s="231"/>
      <c r="AO8" s="232"/>
    </row>
    <row r="9" spans="1:41" ht="16.5" customHeight="1" thickBot="1" x14ac:dyDescent="0.3">
      <c r="A9" s="435"/>
      <c r="B9" s="430"/>
      <c r="C9" s="370">
        <v>10</v>
      </c>
      <c r="D9" s="370"/>
      <c r="E9" s="371" t="s">
        <v>241</v>
      </c>
      <c r="F9" s="372">
        <v>1.5</v>
      </c>
      <c r="G9" s="372" t="s">
        <v>246</v>
      </c>
      <c r="H9" s="372" t="s">
        <v>242</v>
      </c>
      <c r="I9" s="373" t="s">
        <v>40</v>
      </c>
      <c r="J9" s="373">
        <v>4</v>
      </c>
      <c r="K9" s="373" t="s">
        <v>195</v>
      </c>
      <c r="L9" s="372" t="s">
        <v>247</v>
      </c>
      <c r="M9" s="368"/>
      <c r="N9" s="5"/>
      <c r="O9" s="505" t="s">
        <v>429</v>
      </c>
      <c r="R9">
        <v>6</v>
      </c>
      <c r="Z9" s="230"/>
      <c r="AA9" s="231"/>
      <c r="AB9" s="231"/>
      <c r="AC9" s="232"/>
      <c r="AD9" s="230"/>
      <c r="AE9" s="231"/>
      <c r="AF9" s="231"/>
      <c r="AG9" s="232"/>
      <c r="AH9" s="230"/>
      <c r="AI9" s="231"/>
      <c r="AJ9" s="231"/>
      <c r="AK9" s="232"/>
      <c r="AL9" s="230"/>
      <c r="AM9" s="231"/>
      <c r="AN9" s="231"/>
      <c r="AO9" s="232"/>
    </row>
    <row r="10" spans="1:41" ht="16.5" customHeight="1" thickTop="1" x14ac:dyDescent="0.25">
      <c r="A10" s="435"/>
      <c r="B10" s="422" t="s">
        <v>424</v>
      </c>
      <c r="C10" s="374">
        <v>0</v>
      </c>
      <c r="D10" s="374">
        <f>COUNT(C10:C14)</f>
        <v>5</v>
      </c>
      <c r="E10" s="375" t="s">
        <v>248</v>
      </c>
      <c r="F10" s="376">
        <v>1</v>
      </c>
      <c r="G10" s="376" t="s">
        <v>246</v>
      </c>
      <c r="H10" s="376" t="s">
        <v>34</v>
      </c>
      <c r="I10" s="376" t="s">
        <v>251</v>
      </c>
      <c r="J10" s="376">
        <v>1</v>
      </c>
      <c r="K10" s="376" t="s">
        <v>260</v>
      </c>
      <c r="L10" s="377" t="s">
        <v>259</v>
      </c>
      <c r="M10" s="369">
        <v>15</v>
      </c>
      <c r="O10" s="506" t="s">
        <v>430</v>
      </c>
      <c r="R10">
        <v>7</v>
      </c>
      <c r="Z10" s="177" t="s">
        <v>185</v>
      </c>
      <c r="AA10" s="178" t="str" cm="1">
        <f t="array" aca="1" ref="AA10" ca="1">INDEX($B$3:$M$94,MATCH(Ekwipunek!$H$8,Obl!$B$3:$B$94,0)+_xlfn.XLOOKUP(AB$3,Obl!$Q$3:$Q$10,Obl!$R$3:$R$10,,-1),8)</f>
        <v>str</v>
      </c>
      <c r="AB10" s="179" t="s">
        <v>188</v>
      </c>
      <c r="AC10" s="180" cm="1">
        <f t="array" aca="1" ref="AC10" ca="1">INDEX($B$3:$M$94,MATCH(Ekwipunek!$H$8,Obl!$B$3:$B$94,0)+_xlfn.XLOOKUP(AB$3,Obl!$Q$3:$Q$10,Obl!$R$3:$R$10,,-1),5)</f>
        <v>0.5</v>
      </c>
      <c r="AD10" s="177" t="s">
        <v>185</v>
      </c>
      <c r="AE10" s="178" t="str" cm="1">
        <f t="array" aca="1" ref="AE10" ca="1">INDEX($B$3:$M$94,MATCH(Ekwipunek!$H$8,Obl!$B$3:$B$94,0)+_xlfn.XLOOKUP(AF$3,Obl!$Q$3:$Q$10,Obl!$R$3:$R$10,,-1),8)</f>
        <v>str+dex</v>
      </c>
      <c r="AF10" s="179" t="s">
        <v>188</v>
      </c>
      <c r="AG10" s="180" cm="1">
        <f t="array" aca="1" ref="AG10" ca="1">INDEX($B$3:$M$94,MATCH(Ekwipunek!$H$8,Obl!$B$3:$B$94,0)+_xlfn.XLOOKUP(AF$3,Obl!$Q$3:$Q$10,Obl!$R$3:$R$10,,-1),5)</f>
        <v>0.5</v>
      </c>
      <c r="AH10" s="177" t="s">
        <v>185</v>
      </c>
      <c r="AI10" s="178" t="str" cm="1">
        <f t="array" aca="1" ref="AI10" ca="1">INDEX($B$3:$M$94,MATCH(Ekwipunek!$H$8,Obl!$B$3:$B$94,0)+_xlfn.XLOOKUP(AJ$3,Obl!$Q$3:$Q$10,Obl!$R$3:$R$10,,-1),8)</f>
        <v>str</v>
      </c>
      <c r="AJ10" s="179" t="s">
        <v>188</v>
      </c>
      <c r="AK10" s="180" cm="1">
        <f t="array" aca="1" ref="AK10" ca="1">INDEX($B$3:$M$94,MATCH(Ekwipunek!$H$8,Obl!$B$3:$B$94,0)+_xlfn.XLOOKUP(AJ$3,Obl!$Q$3:$Q$10,Obl!$R$3:$R$10,,-1),5)</f>
        <v>0.5</v>
      </c>
      <c r="AL10" s="177" t="s">
        <v>185</v>
      </c>
      <c r="AM10" s="178" t="str" cm="1">
        <f t="array" aca="1" ref="AM10" ca="1">INDEX($B$3:$M$94,MATCH(Ekwipunek!$H$8,Obl!$B$3:$B$94,0)+_xlfn.XLOOKUP(AN$3,Obl!$Q$3:$Q$10,Obl!$R$3:$R$10,,-1),8)</f>
        <v>str</v>
      </c>
      <c r="AN10" s="179" t="s">
        <v>188</v>
      </c>
      <c r="AO10" s="180" cm="1">
        <f t="array" aca="1" ref="AO10" ca="1">INDEX($B$3:$M$94,MATCH(Ekwipunek!$H$8,Obl!$B$3:$B$94,0)+_xlfn.XLOOKUP(AN$3,Obl!$Q$3:$Q$10,Obl!$R$3:$R$10,,-1),5)</f>
        <v>0.5</v>
      </c>
    </row>
    <row r="11" spans="1:41" ht="16.5" customHeight="1" x14ac:dyDescent="0.25">
      <c r="A11" s="435"/>
      <c r="B11" s="423"/>
      <c r="C11" s="350">
        <v>2</v>
      </c>
      <c r="D11" s="350"/>
      <c r="E11" s="351" t="s">
        <v>254</v>
      </c>
      <c r="F11" s="352">
        <v>0.5</v>
      </c>
      <c r="G11" s="352" t="s">
        <v>246</v>
      </c>
      <c r="H11" s="352" t="s">
        <v>103</v>
      </c>
      <c r="I11" s="352" t="s">
        <v>103</v>
      </c>
      <c r="J11" s="352">
        <v>1</v>
      </c>
      <c r="K11" s="352" t="s">
        <v>235</v>
      </c>
      <c r="L11" s="353" t="s">
        <v>460</v>
      </c>
      <c r="M11" s="359"/>
      <c r="O11" s="505" t="s">
        <v>431</v>
      </c>
      <c r="Z11" s="181" t="s">
        <v>186</v>
      </c>
      <c r="AA11" s="182" t="str" cm="1">
        <f t="array" aca="1" ref="AA11" ca="1">INDEX($B$3:$M$94,MATCH(Ekwipunek!$H$8,Obl!$B$3:$B$94,0)+_xlfn.XLOOKUP(AB$3,Obl!$Q$3:$Q$10,Obl!$R$3:$R$10,,-1),7)</f>
        <v>d20+dex</v>
      </c>
      <c r="AB11" s="183" t="s">
        <v>189</v>
      </c>
      <c r="AC11" s="184" cm="1">
        <f t="array" aca="1" ref="AC11" ca="1">INDEX($B$3:$M$94,MATCH(Ekwipunek!$H$8,Obl!$B$3:$B$94,0)+_xlfn.XLOOKUP(AB$3,Obl!$Q$3:$Q$10,Obl!$R$3:$R$10,,-1),9)</f>
        <v>1</v>
      </c>
      <c r="AD11" s="181" t="s">
        <v>186</v>
      </c>
      <c r="AE11" s="182" t="str" cm="1">
        <f t="array" aca="1" ref="AE11" ca="1">INDEX($B$3:$M$94,MATCH(Ekwipunek!$H$8,Obl!$B$3:$B$94,0)+_xlfn.XLOOKUP(AF$3,Obl!$Q$3:$Q$10,Obl!$R$3:$R$10,,-1),7)</f>
        <v>d20+dex</v>
      </c>
      <c r="AF11" s="183" t="s">
        <v>189</v>
      </c>
      <c r="AG11" s="184" cm="1">
        <f t="array" aca="1" ref="AG11" ca="1">INDEX($B$3:$M$94,MATCH(Ekwipunek!$H$8,Obl!$B$3:$B$94,0)+_xlfn.XLOOKUP(AF$3,Obl!$Q$3:$Q$10,Obl!$R$3:$R$10,,-1),9)</f>
        <v>1</v>
      </c>
      <c r="AH11" s="181" t="s">
        <v>186</v>
      </c>
      <c r="AI11" s="182" t="str" cm="1">
        <f t="array" aca="1" ref="AI11" ca="1">INDEX($B$3:$M$94,MATCH(Ekwipunek!$H$8,Obl!$B$3:$B$94,0)+_xlfn.XLOOKUP(AJ$3,Obl!$Q$3:$Q$10,Obl!$R$3:$R$10,,-1),7)</f>
        <v>d20+dex</v>
      </c>
      <c r="AJ11" s="183" t="s">
        <v>189</v>
      </c>
      <c r="AK11" s="184" cm="1">
        <f t="array" aca="1" ref="AK11" ca="1">INDEX($B$3:$M$94,MATCH(Ekwipunek!$H$8,Obl!$B$3:$B$94,0)+_xlfn.XLOOKUP(AJ$3,Obl!$Q$3:$Q$10,Obl!$R$3:$R$10,,-1),9)</f>
        <v>1</v>
      </c>
      <c r="AL11" s="181" t="s">
        <v>186</v>
      </c>
      <c r="AM11" s="182" t="str" cm="1">
        <f t="array" aca="1" ref="AM11" ca="1">INDEX($B$3:$M$94,MATCH(Ekwipunek!$H$8,Obl!$B$3:$B$94,0)+_xlfn.XLOOKUP(AN$3,Obl!$Q$3:$Q$10,Obl!$R$3:$R$10,,-1),7)</f>
        <v>d20+dex</v>
      </c>
      <c r="AN11" s="183" t="s">
        <v>189</v>
      </c>
      <c r="AO11" s="184" cm="1">
        <f t="array" aca="1" ref="AO11" ca="1">INDEX($B$3:$M$94,MATCH(Ekwipunek!$H$8,Obl!$B$3:$B$94,0)+_xlfn.XLOOKUP(AN$3,Obl!$Q$3:$Q$10,Obl!$R$3:$R$10,,-1),9)</f>
        <v>1</v>
      </c>
    </row>
    <row r="12" spans="1:41" ht="16.5" customHeight="1" thickBot="1" x14ac:dyDescent="0.3">
      <c r="A12" s="435"/>
      <c r="B12" s="423"/>
      <c r="C12" s="374">
        <v>5</v>
      </c>
      <c r="D12" s="374"/>
      <c r="E12" s="375" t="s">
        <v>256</v>
      </c>
      <c r="F12" s="376">
        <v>0</v>
      </c>
      <c r="G12" s="376" t="s">
        <v>246</v>
      </c>
      <c r="H12" s="376" t="s">
        <v>34</v>
      </c>
      <c r="I12" s="376" t="s">
        <v>251</v>
      </c>
      <c r="J12" s="376">
        <v>1</v>
      </c>
      <c r="K12" s="376" t="s">
        <v>257</v>
      </c>
      <c r="L12" s="377" t="s">
        <v>258</v>
      </c>
      <c r="M12" s="359"/>
      <c r="O12" s="508" t="s">
        <v>449</v>
      </c>
      <c r="Z12" s="185" t="s">
        <v>187</v>
      </c>
      <c r="AA12" s="186" t="str" cm="1">
        <f t="array" aca="1" ref="AA12" ca="1">INDEX($B$3:$M$94,MATCH(Ekwipunek!$H$8,Obl!$B$3:$B$94,0)+_xlfn.XLOOKUP(AB$3,Obl!$Q$3:$Q$10,Obl!$R$3:$R$10,,-1),6)</f>
        <v>Mele</v>
      </c>
      <c r="AB12" s="187" t="s">
        <v>196</v>
      </c>
      <c r="AC12" s="188" t="str" cm="1">
        <f t="array" aca="1" ref="AC12" ca="1">INDEX($B$3:$M$94,MATCH(Ekwipunek!$H$8,Obl!$B$3:$B$94,0)+_xlfn.XLOOKUP(AB$3,Obl!$Q$3:$Q$10,Obl!$R$3:$R$10,,-1),10)</f>
        <v>Gracza</v>
      </c>
      <c r="AD12" s="185" t="s">
        <v>187</v>
      </c>
      <c r="AE12" s="186" t="str" cm="1">
        <f t="array" aca="1" ref="AE12" ca="1">INDEX($B$3:$M$94,MATCH(Ekwipunek!$H$8,Obl!$B$3:$B$94,0)+_xlfn.XLOOKUP(AF$3,Obl!$Q$3:$Q$10,Obl!$R$3:$R$10,,-1),6)</f>
        <v>Mele</v>
      </c>
      <c r="AF12" s="187" t="s">
        <v>196</v>
      </c>
      <c r="AG12" s="188" t="str" cm="1">
        <f t="array" aca="1" ref="AG12" ca="1">INDEX($B$3:$M$94,MATCH(Ekwipunek!$H$8,Obl!$B$3:$B$94,0)+_xlfn.XLOOKUP(AF$3,Obl!$Q$3:$Q$10,Obl!$R$3:$R$10,,-1),10)</f>
        <v>Gracza</v>
      </c>
      <c r="AH12" s="185" t="s">
        <v>187</v>
      </c>
      <c r="AI12" s="186" t="str" cm="1">
        <f t="array" aca="1" ref="AI12" ca="1">INDEX($B$3:$M$94,MATCH(Ekwipunek!$H$8,Obl!$B$3:$B$94,0)+_xlfn.XLOOKUP(AJ$3,Obl!$Q$3:$Q$10,Obl!$R$3:$R$10,,-1),6)</f>
        <v>Mele</v>
      </c>
      <c r="AJ12" s="187" t="s">
        <v>196</v>
      </c>
      <c r="AK12" s="188" t="str" cm="1">
        <f t="array" aca="1" ref="AK12" ca="1">INDEX($B$3:$M$94,MATCH(Ekwipunek!$H$8,Obl!$B$3:$B$94,0)+_xlfn.XLOOKUP(AJ$3,Obl!$Q$3:$Q$10,Obl!$R$3:$R$10,,-1),10)</f>
        <v>Gracza</v>
      </c>
      <c r="AL12" s="185" t="s">
        <v>187</v>
      </c>
      <c r="AM12" s="186" t="str" cm="1">
        <f t="array" aca="1" ref="AM12" ca="1">INDEX($B$3:$M$94,MATCH(Ekwipunek!$H$8,Obl!$B$3:$B$94,0)+_xlfn.XLOOKUP(AN$3,Obl!$Q$3:$Q$10,Obl!$R$3:$R$10,,-1),6)</f>
        <v>Mele</v>
      </c>
      <c r="AN12" s="187" t="s">
        <v>196</v>
      </c>
      <c r="AO12" s="188" t="str" cm="1">
        <f t="array" aca="1" ref="AO12" ca="1">INDEX($B$3:$M$94,MATCH(Ekwipunek!$H$8,Obl!$B$3:$B$94,0)+_xlfn.XLOOKUP(AN$3,Obl!$Q$3:$Q$10,Obl!$R$3:$R$10,,-1),10)</f>
        <v>Gracza</v>
      </c>
    </row>
    <row r="13" spans="1:41" ht="16.5" customHeight="1" thickTop="1" thickBot="1" x14ac:dyDescent="0.3">
      <c r="A13" s="435"/>
      <c r="B13" s="423"/>
      <c r="C13" s="378">
        <v>7</v>
      </c>
      <c r="D13" s="378"/>
      <c r="E13" s="379" t="s">
        <v>249</v>
      </c>
      <c r="F13" s="380">
        <v>1</v>
      </c>
      <c r="G13" s="380" t="s">
        <v>38</v>
      </c>
      <c r="H13" s="380" t="s">
        <v>37</v>
      </c>
      <c r="I13" s="380" t="s">
        <v>252</v>
      </c>
      <c r="J13" s="380">
        <v>1</v>
      </c>
      <c r="K13" s="380" t="s">
        <v>260</v>
      </c>
      <c r="L13" s="381" t="s">
        <v>253</v>
      </c>
      <c r="M13" s="359"/>
      <c r="O13" s="509" t="s">
        <v>433</v>
      </c>
    </row>
    <row r="14" spans="1:41" ht="16.5" customHeight="1" thickTop="1" thickBot="1" x14ac:dyDescent="0.3">
      <c r="A14" s="435"/>
      <c r="B14" s="424"/>
      <c r="C14" s="364">
        <v>10</v>
      </c>
      <c r="D14" s="364"/>
      <c r="E14" s="365" t="s">
        <v>250</v>
      </c>
      <c r="F14" s="366">
        <v>1</v>
      </c>
      <c r="G14" s="366" t="s">
        <v>246</v>
      </c>
      <c r="H14" s="366" t="s">
        <v>103</v>
      </c>
      <c r="I14" s="367" t="s">
        <v>103</v>
      </c>
      <c r="J14" s="367">
        <v>1</v>
      </c>
      <c r="K14" s="367" t="s">
        <v>261</v>
      </c>
      <c r="L14" s="366" t="s">
        <v>255</v>
      </c>
      <c r="M14" s="368"/>
      <c r="O14" s="510" t="s">
        <v>434</v>
      </c>
      <c r="Z14" s="239" t="s">
        <v>184</v>
      </c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1"/>
    </row>
    <row r="15" spans="1:41" ht="16.5" customHeight="1" thickTop="1" thickBot="1" x14ac:dyDescent="0.3">
      <c r="A15" s="435"/>
      <c r="B15" s="422" t="s">
        <v>425</v>
      </c>
      <c r="C15" s="350">
        <v>0</v>
      </c>
      <c r="D15" s="350">
        <f>COUNT(C15:C17)</f>
        <v>3</v>
      </c>
      <c r="E15" s="351" t="s">
        <v>239</v>
      </c>
      <c r="F15" s="352">
        <v>1</v>
      </c>
      <c r="G15" s="352" t="s">
        <v>246</v>
      </c>
      <c r="H15" s="352" t="s">
        <v>266</v>
      </c>
      <c r="I15" s="352" t="s">
        <v>271</v>
      </c>
      <c r="J15" s="352">
        <v>1</v>
      </c>
      <c r="K15" s="352" t="s">
        <v>195</v>
      </c>
      <c r="L15" s="353" t="s">
        <v>270</v>
      </c>
      <c r="M15" s="369">
        <v>5</v>
      </c>
      <c r="N15" s="5"/>
      <c r="O15" s="511" t="s">
        <v>435</v>
      </c>
      <c r="Z15" s="221" t="s">
        <v>200</v>
      </c>
      <c r="AA15" s="222"/>
      <c r="AB15" s="189" t="s">
        <v>201</v>
      </c>
      <c r="AC15" s="54" t="b">
        <f>Ekwipunek!O32</f>
        <v>0</v>
      </c>
      <c r="AD15" s="221" t="s">
        <v>202</v>
      </c>
      <c r="AE15" s="222"/>
      <c r="AF15" s="189" t="s">
        <v>201</v>
      </c>
      <c r="AG15" s="54" t="b">
        <f>Ekwipunek!S32</f>
        <v>0</v>
      </c>
      <c r="AH15" s="221" t="s">
        <v>203</v>
      </c>
      <c r="AI15" s="222"/>
      <c r="AJ15" s="176" t="s">
        <v>201</v>
      </c>
      <c r="AK15" s="54" t="b">
        <f>Ekwipunek!W32</f>
        <v>0</v>
      </c>
      <c r="AL15" s="221" t="s">
        <v>204</v>
      </c>
      <c r="AM15" s="222"/>
      <c r="AN15" s="189" t="s">
        <v>201</v>
      </c>
      <c r="AO15" s="54" t="b">
        <f>Ekwipunek!AA32</f>
        <v>0</v>
      </c>
    </row>
    <row r="16" spans="1:41" ht="16.5" customHeight="1" thickTop="1" thickBot="1" x14ac:dyDescent="0.3">
      <c r="A16" s="435"/>
      <c r="B16" s="423"/>
      <c r="C16" s="355">
        <v>5</v>
      </c>
      <c r="D16" s="355"/>
      <c r="E16" s="356" t="s">
        <v>262</v>
      </c>
      <c r="F16" s="357">
        <v>1</v>
      </c>
      <c r="G16" s="357" t="s">
        <v>246</v>
      </c>
      <c r="H16" s="357" t="s">
        <v>264</v>
      </c>
      <c r="I16" s="357" t="s">
        <v>268</v>
      </c>
      <c r="J16" s="357">
        <v>1</v>
      </c>
      <c r="K16" s="357" t="s">
        <v>195</v>
      </c>
      <c r="L16" s="358" t="s">
        <v>267</v>
      </c>
      <c r="M16" s="359"/>
      <c r="N16" s="5"/>
      <c r="O16" s="512" t="s">
        <v>436</v>
      </c>
      <c r="Q16" s="347" t="s">
        <v>169</v>
      </c>
      <c r="R16" s="347"/>
      <c r="Z16" s="225" t="s">
        <v>190</v>
      </c>
      <c r="AA16" s="226"/>
      <c r="AB16" s="340">
        <f>Ekwipunek!N33</f>
        <v>0</v>
      </c>
      <c r="AC16" s="224"/>
      <c r="AD16" s="225" t="s">
        <v>190</v>
      </c>
      <c r="AE16" s="226"/>
      <c r="AF16" s="340">
        <f>Ekwipunek!R33</f>
        <v>0</v>
      </c>
      <c r="AG16" s="224"/>
      <c r="AH16" s="225" t="s">
        <v>190</v>
      </c>
      <c r="AI16" s="226"/>
      <c r="AJ16" s="340">
        <f>Ekwipunek!V33</f>
        <v>0</v>
      </c>
      <c r="AK16" s="224"/>
      <c r="AL16" s="225" t="s">
        <v>190</v>
      </c>
      <c r="AM16" s="226"/>
      <c r="AN16" s="340">
        <f>Ekwipunek!Z33</f>
        <v>0</v>
      </c>
      <c r="AO16" s="224"/>
    </row>
    <row r="17" spans="1:41" ht="16.5" customHeight="1" thickTop="1" thickBot="1" x14ac:dyDescent="0.3">
      <c r="A17" s="435"/>
      <c r="B17" s="424"/>
      <c r="C17" s="370">
        <v>10</v>
      </c>
      <c r="D17" s="370"/>
      <c r="E17" s="371" t="s">
        <v>263</v>
      </c>
      <c r="F17" s="372">
        <v>1</v>
      </c>
      <c r="G17" s="372" t="s">
        <v>246</v>
      </c>
      <c r="H17" s="372" t="s">
        <v>265</v>
      </c>
      <c r="I17" s="373" t="s">
        <v>269</v>
      </c>
      <c r="J17" s="373">
        <v>1</v>
      </c>
      <c r="K17" s="373" t="s">
        <v>195</v>
      </c>
      <c r="L17" s="372" t="s">
        <v>272</v>
      </c>
      <c r="M17" s="368"/>
      <c r="N17" s="5"/>
      <c r="O17" s="513" t="s">
        <v>437</v>
      </c>
      <c r="Q17" t="s">
        <v>194</v>
      </c>
      <c r="R17" t="s">
        <v>193</v>
      </c>
      <c r="U17" t="s">
        <v>209</v>
      </c>
      <c r="V17" t="s">
        <v>210</v>
      </c>
      <c r="Z17" s="233" t="str" cm="1">
        <f t="array" aca="1" ref="Z17" ca="1">INDEX($B$3:$M$94,MATCH(Ekwipunek!$H$9,Obl!$B$3:$B$94,0)+_xlfn.XLOOKUP(AB$16,Obl!$Q$18:$Q$24,Obl!$R$18:$R$24,,-1),4)</f>
        <v>Prosty</v>
      </c>
      <c r="AA17" s="234"/>
      <c r="AB17" s="234"/>
      <c r="AC17" s="235"/>
      <c r="AD17" s="233" t="str" cm="1">
        <f t="array" aca="1" ref="AD17" ca="1">INDEX($B$3:$M$94,MATCH(Ekwipunek!$H$9,Obl!$B$3:$B$94,0)+_xlfn.XLOOKUP(AF$16,Obl!$Q$18:$Q$24,Obl!$R$18:$R$24,,-1),4)</f>
        <v>Prosty</v>
      </c>
      <c r="AE17" s="234"/>
      <c r="AF17" s="234"/>
      <c r="AG17" s="235"/>
      <c r="AH17" s="233" t="str" cm="1">
        <f t="array" aca="1" ref="AH17" ca="1">INDEX($B$3:$M$94,MATCH(Ekwipunek!$H$9,Obl!$B$3:$B$94,0)+_xlfn.XLOOKUP(AJ$16,Obl!$Q$18:$Q$24,Obl!$R$18:$R$24,,-1),4)</f>
        <v>Prosty</v>
      </c>
      <c r="AI17" s="234"/>
      <c r="AJ17" s="234"/>
      <c r="AK17" s="235"/>
      <c r="AL17" s="233" t="str" cm="1">
        <f t="array" aca="1" ref="AL17" ca="1">INDEX($B$3:$M$94,MATCH(Ekwipunek!$H$9,Obl!$B$3:$B$94,0)+_xlfn.XLOOKUP(AN$16,Obl!$Q$18:$Q$24,Obl!$R$18:$R$24,,-1),4)</f>
        <v>Prosty</v>
      </c>
      <c r="AM17" s="234"/>
      <c r="AN17" s="234"/>
      <c r="AO17" s="235"/>
    </row>
    <row r="18" spans="1:41" ht="15.75" thickTop="1" x14ac:dyDescent="0.25">
      <c r="A18" s="435"/>
      <c r="B18" s="422" t="s">
        <v>426</v>
      </c>
      <c r="C18" s="374">
        <v>0</v>
      </c>
      <c r="D18" s="374">
        <f>COUNT(C18:C20)</f>
        <v>3</v>
      </c>
      <c r="E18" s="375" t="s">
        <v>275</v>
      </c>
      <c r="F18" s="376">
        <v>2</v>
      </c>
      <c r="G18" s="376" t="s">
        <v>38</v>
      </c>
      <c r="H18" s="376" t="s">
        <v>34</v>
      </c>
      <c r="I18" s="376" t="s">
        <v>39</v>
      </c>
      <c r="J18" s="376">
        <v>3</v>
      </c>
      <c r="K18" s="376" t="s">
        <v>243</v>
      </c>
      <c r="L18" s="377" t="s">
        <v>273</v>
      </c>
      <c r="M18" s="369">
        <v>5</v>
      </c>
      <c r="N18" s="5"/>
      <c r="O18" s="514" t="s">
        <v>438</v>
      </c>
      <c r="Q18" cm="1">
        <f t="array" aca="1" ref="Q18:Q21" ca="1">OFFSET(_xlfn.XLOOKUP(Ekwipunek!H9,Obl!$B$3:$B$94,Obl!$C$3:$C$94),0,0,_xlfn.XLOOKUP(Ekwipunek!H9,Obl!$B$3:$B$94,$D$3:$D$94))</f>
        <v>0</v>
      </c>
      <c r="R18">
        <v>0</v>
      </c>
      <c r="T18" t="s">
        <v>205</v>
      </c>
      <c r="U18">
        <f ca="1">Ekwipunek!O39</f>
        <v>0.5</v>
      </c>
      <c r="V18" t="b">
        <f>Ekwipunek!O32</f>
        <v>0</v>
      </c>
      <c r="W18">
        <f>IF(V18=TRUE,U18,0)</f>
        <v>0</v>
      </c>
      <c r="Z18" s="227" t="str" cm="1">
        <f t="array" aca="1" ref="Z18" ca="1">INDEX($B$3:$M$94,MATCH(Ekwipunek!$H$9,Obl!$B$3:$B$94,0)+_xlfn.XLOOKUP(AB$16,Obl!$Q$3:$Q$10,Obl!$R$3:$R$10,,-1),11)</f>
        <v>Zwykły, chamski atak</v>
      </c>
      <c r="AA18" s="228"/>
      <c r="AB18" s="228"/>
      <c r="AC18" s="229"/>
      <c r="AD18" s="227" t="str" cm="1">
        <f t="array" aca="1" ref="AD18" ca="1">INDEX($B$3:$M$94,MATCH(Ekwipunek!$H$9,Obl!$B$3:$B$94,0)+_xlfn.XLOOKUP(AF$16,Obl!$Q$3:$Q$10,Obl!$R$3:$R$10,,-1),11)</f>
        <v>Zwykły, chamski atak</v>
      </c>
      <c r="AE18" s="228"/>
      <c r="AF18" s="228"/>
      <c r="AG18" s="229"/>
      <c r="AH18" s="227" t="str" cm="1">
        <f t="array" aca="1" ref="AH18" ca="1">INDEX($B$3:$M$94,MATCH(Ekwipunek!$H$9,Obl!$B$3:$B$94,0)+_xlfn.XLOOKUP(AJ$16,Obl!$Q$3:$Q$10,Obl!$R$3:$R$10,,-1),11)</f>
        <v>Zwykły, chamski atak</v>
      </c>
      <c r="AI18" s="228"/>
      <c r="AJ18" s="228"/>
      <c r="AK18" s="229"/>
      <c r="AL18" s="227" t="str" cm="1">
        <f t="array" aca="1" ref="AL18" ca="1">INDEX($B$3:$M$94,MATCH(Ekwipunek!$H$9,Obl!$B$3:$B$94,0)+_xlfn.XLOOKUP(AN$16,Obl!$Q$3:$Q$10,Obl!$R$3:$R$10,,-1),11)</f>
        <v>Zwykły, chamski atak</v>
      </c>
      <c r="AM18" s="228"/>
      <c r="AN18" s="228"/>
      <c r="AO18" s="229"/>
    </row>
    <row r="19" spans="1:41" ht="16.5" customHeight="1" x14ac:dyDescent="0.25">
      <c r="A19" s="435"/>
      <c r="B19" s="423"/>
      <c r="C19" s="378">
        <v>5</v>
      </c>
      <c r="D19" s="378"/>
      <c r="E19" s="379" t="s">
        <v>274</v>
      </c>
      <c r="F19" s="380">
        <v>1</v>
      </c>
      <c r="G19" s="380" t="s">
        <v>38</v>
      </c>
      <c r="H19" s="380" t="s">
        <v>34</v>
      </c>
      <c r="I19" s="380" t="s">
        <v>39</v>
      </c>
      <c r="J19" s="380">
        <v>3</v>
      </c>
      <c r="K19" s="380" t="s">
        <v>257</v>
      </c>
      <c r="L19" s="381" t="s">
        <v>276</v>
      </c>
      <c r="M19" s="359"/>
      <c r="N19" s="5"/>
      <c r="O19" s="515" t="s">
        <v>24</v>
      </c>
      <c r="Q19">
        <f ca="1"/>
        <v>3</v>
      </c>
      <c r="R19">
        <v>1</v>
      </c>
      <c r="T19" t="s">
        <v>206</v>
      </c>
      <c r="U19" t="str">
        <f>Ekwipunek!S39</f>
        <v/>
      </c>
      <c r="V19" t="b">
        <f>Ekwipunek!S32</f>
        <v>0</v>
      </c>
      <c r="W19">
        <f t="shared" ref="W19:W21" si="1">IF(V19=TRUE,U19,0)</f>
        <v>0</v>
      </c>
      <c r="Z19" s="230"/>
      <c r="AA19" s="231"/>
      <c r="AB19" s="231"/>
      <c r="AC19" s="232"/>
      <c r="AD19" s="230"/>
      <c r="AE19" s="231"/>
      <c r="AF19" s="231"/>
      <c r="AG19" s="232"/>
      <c r="AH19" s="230"/>
      <c r="AI19" s="231"/>
      <c r="AJ19" s="231"/>
      <c r="AK19" s="232"/>
      <c r="AL19" s="230"/>
      <c r="AM19" s="231"/>
      <c r="AN19" s="231"/>
      <c r="AO19" s="232"/>
    </row>
    <row r="20" spans="1:41" ht="16.5" customHeight="1" thickBot="1" x14ac:dyDescent="0.3">
      <c r="A20" s="435"/>
      <c r="B20" s="424"/>
      <c r="C20" s="364">
        <v>10</v>
      </c>
      <c r="D20" s="364"/>
      <c r="E20" s="365" t="s">
        <v>277</v>
      </c>
      <c r="F20" s="366">
        <v>0</v>
      </c>
      <c r="G20" s="366"/>
      <c r="H20" s="366"/>
      <c r="I20" s="367"/>
      <c r="J20" s="367"/>
      <c r="K20" s="367" t="s">
        <v>195</v>
      </c>
      <c r="L20" s="366" t="s">
        <v>278</v>
      </c>
      <c r="M20" s="368"/>
      <c r="N20" s="5"/>
      <c r="O20" s="516" t="s">
        <v>439</v>
      </c>
      <c r="Q20">
        <f ca="1"/>
        <v>8</v>
      </c>
      <c r="R20">
        <v>2</v>
      </c>
      <c r="T20" t="s">
        <v>207</v>
      </c>
      <c r="U20" t="str">
        <f>Ekwipunek!W39</f>
        <v/>
      </c>
      <c r="V20" t="b">
        <f>Ekwipunek!W32</f>
        <v>0</v>
      </c>
      <c r="W20">
        <f t="shared" si="1"/>
        <v>0</v>
      </c>
      <c r="Z20" s="230"/>
      <c r="AA20" s="231"/>
      <c r="AB20" s="231"/>
      <c r="AC20" s="232"/>
      <c r="AD20" s="230"/>
      <c r="AE20" s="231"/>
      <c r="AF20" s="231"/>
      <c r="AG20" s="232"/>
      <c r="AH20" s="230"/>
      <c r="AI20" s="231"/>
      <c r="AJ20" s="231"/>
      <c r="AK20" s="232"/>
      <c r="AL20" s="230"/>
      <c r="AM20" s="231"/>
      <c r="AN20" s="231"/>
      <c r="AO20" s="232"/>
    </row>
    <row r="21" spans="1:41" ht="16.5" thickTop="1" thickBot="1" x14ac:dyDescent="0.3">
      <c r="A21" s="435"/>
      <c r="B21" s="422" t="s">
        <v>427</v>
      </c>
      <c r="C21" s="350">
        <v>0</v>
      </c>
      <c r="D21" s="350">
        <f>COUNT(C21:C23)</f>
        <v>3</v>
      </c>
      <c r="E21" s="351" t="s">
        <v>248</v>
      </c>
      <c r="F21" s="352">
        <v>1</v>
      </c>
      <c r="G21" s="352" t="s">
        <v>246</v>
      </c>
      <c r="H21" s="352" t="s">
        <v>34</v>
      </c>
      <c r="I21" s="352" t="s">
        <v>41</v>
      </c>
      <c r="J21" s="352">
        <v>1</v>
      </c>
      <c r="K21" s="352" t="s">
        <v>195</v>
      </c>
      <c r="L21" s="353" t="s">
        <v>282</v>
      </c>
      <c r="M21" s="369">
        <v>25</v>
      </c>
      <c r="N21" s="5"/>
      <c r="O21" s="513" t="s">
        <v>440</v>
      </c>
      <c r="Q21">
        <f ca="1"/>
        <v>10</v>
      </c>
      <c r="R21">
        <v>3</v>
      </c>
      <c r="T21" t="s">
        <v>208</v>
      </c>
      <c r="U21" t="str">
        <f>Ekwipunek!AA39</f>
        <v/>
      </c>
      <c r="V21" t="b">
        <f>Ekwipunek!AA32</f>
        <v>0</v>
      </c>
      <c r="W21">
        <f t="shared" si="1"/>
        <v>0</v>
      </c>
      <c r="Z21" s="344"/>
      <c r="AA21" s="345"/>
      <c r="AB21" s="345"/>
      <c r="AC21" s="346"/>
      <c r="AD21" s="344"/>
      <c r="AE21" s="345"/>
      <c r="AF21" s="345"/>
      <c r="AG21" s="346"/>
      <c r="AH21" s="344"/>
      <c r="AI21" s="345"/>
      <c r="AJ21" s="345"/>
      <c r="AK21" s="346"/>
      <c r="AL21" s="344"/>
      <c r="AM21" s="345"/>
      <c r="AN21" s="345"/>
      <c r="AO21" s="346"/>
    </row>
    <row r="22" spans="1:41" ht="15.75" thickBot="1" x14ac:dyDescent="0.3">
      <c r="A22" s="435"/>
      <c r="B22" s="423"/>
      <c r="C22" s="355">
        <v>5</v>
      </c>
      <c r="D22" s="355"/>
      <c r="E22" s="356" t="s">
        <v>283</v>
      </c>
      <c r="F22" s="357">
        <v>1</v>
      </c>
      <c r="G22" s="357" t="s">
        <v>246</v>
      </c>
      <c r="H22" s="357"/>
      <c r="I22" s="357"/>
      <c r="J22" s="357"/>
      <c r="K22" s="357" t="s">
        <v>235</v>
      </c>
      <c r="L22" s="358" t="s">
        <v>284</v>
      </c>
      <c r="M22" s="359"/>
      <c r="N22" s="5"/>
      <c r="O22" s="509" t="s">
        <v>441</v>
      </c>
      <c r="R22">
        <v>4</v>
      </c>
      <c r="Z22" s="177" t="s">
        <v>185</v>
      </c>
      <c r="AA22" s="178" t="str" cm="1">
        <f t="array" aca="1" ref="AA22" ca="1">INDEX($B$3:$M$94,MATCH(Ekwipunek!$H$9,Obl!$B$3:$B$94,0)+_xlfn.XLOOKUP(AB$16,Obl!$Q$18:$Q$24,Obl!$R$18:$R$24,,-1),8)</f>
        <v>str</v>
      </c>
      <c r="AB22" s="179" t="s">
        <v>188</v>
      </c>
      <c r="AC22" s="180" cm="1">
        <f t="array" aca="1" ref="AC22" ca="1">INDEX($B$3:$M$94,MATCH(Ekwipunek!$H$9,Obl!$B$3:$B$94,0)+_xlfn.XLOOKUP(AB$16,Obl!$Q$18:$Q$24,Obl!$R$18:$R$24,,-1),5)</f>
        <v>0.5</v>
      </c>
      <c r="AD22" s="177" t="s">
        <v>185</v>
      </c>
      <c r="AE22" s="178" t="str" cm="1">
        <f t="array" aca="1" ref="AE22" ca="1">INDEX($B$3:$M$94,MATCH(Ekwipunek!$H$9,Obl!$B$3:$B$94,0)+_xlfn.XLOOKUP(AF$16,Obl!$Q$18:$Q$24,Obl!$R$18:$R$24,,-1),8)</f>
        <v>str</v>
      </c>
      <c r="AF22" s="179" t="s">
        <v>188</v>
      </c>
      <c r="AG22" s="180" cm="1">
        <f t="array" aca="1" ref="AG22" ca="1">INDEX($B$3:$M$94,MATCH(Ekwipunek!$H$9,Obl!$B$3:$B$94,0)+_xlfn.XLOOKUP(AF$16,Obl!$Q$18:$Q$24,Obl!$R$18:$R$24,,-1),5)</f>
        <v>0.5</v>
      </c>
      <c r="AH22" s="177" t="s">
        <v>185</v>
      </c>
      <c r="AI22" s="178" t="str" cm="1">
        <f t="array" aca="1" ref="AI22" ca="1">INDEX($B$3:$M$94,MATCH(Ekwipunek!$H$9,Obl!$B$3:$B$94,0)+_xlfn.XLOOKUP(AJ$16,Obl!$Q$18:$Q$24,Obl!$R$18:$R$24,,-1),8)</f>
        <v>str</v>
      </c>
      <c r="AJ22" s="179" t="s">
        <v>188</v>
      </c>
      <c r="AK22" s="180" cm="1">
        <f t="array" aca="1" ref="AK22" ca="1">INDEX($B$3:$M$94,MATCH(Ekwipunek!$H$9,Obl!$B$3:$B$94,0)+_xlfn.XLOOKUP(AJ$16,Obl!$Q$18:$Q$24,Obl!$R$18:$R$24,,-1),5)</f>
        <v>0.5</v>
      </c>
      <c r="AL22" s="177" t="s">
        <v>185</v>
      </c>
      <c r="AM22" s="178" t="str" cm="1">
        <f t="array" aca="1" ref="AM22" ca="1">INDEX($B$3:$M$94,MATCH(Ekwipunek!$H$9,Obl!$B$3:$B$94,0)+_xlfn.XLOOKUP(AN$16,Obl!$Q$18:$Q$24,Obl!$R$18:$R$24,,-1),8)</f>
        <v>str</v>
      </c>
      <c r="AN22" s="179" t="s">
        <v>188</v>
      </c>
      <c r="AO22" s="180" cm="1">
        <f t="array" aca="1" ref="AO22" ca="1">INDEX($B$3:$M$94,MATCH(Ekwipunek!$H$9,Obl!$B$3:$B$94,0)+_xlfn.XLOOKUP(AN$16,Obl!$Q$18:$Q$24,Obl!$R$18:$R$24,,-1),5)</f>
        <v>0.5</v>
      </c>
    </row>
    <row r="23" spans="1:41" ht="16.5" thickTop="1" thickBot="1" x14ac:dyDescent="0.3">
      <c r="A23" s="435"/>
      <c r="B23" s="432"/>
      <c r="C23" s="370">
        <v>10</v>
      </c>
      <c r="D23" s="370"/>
      <c r="E23" s="371" t="s">
        <v>279</v>
      </c>
      <c r="F23" s="372">
        <v>1</v>
      </c>
      <c r="G23" s="372" t="s">
        <v>246</v>
      </c>
      <c r="H23" s="372" t="s">
        <v>34</v>
      </c>
      <c r="I23" s="373" t="s">
        <v>280</v>
      </c>
      <c r="J23" s="373">
        <v>1</v>
      </c>
      <c r="K23" s="373" t="s">
        <v>195</v>
      </c>
      <c r="L23" s="372" t="s">
        <v>281</v>
      </c>
      <c r="M23" s="368"/>
      <c r="N23" s="5"/>
      <c r="O23" s="517" t="s">
        <v>442</v>
      </c>
      <c r="R23">
        <v>5</v>
      </c>
      <c r="Z23" s="181" t="s">
        <v>186</v>
      </c>
      <c r="AA23" s="182" t="str" cm="1">
        <f t="array" aca="1" ref="AA23" ca="1">INDEX($B$3:$M$94,MATCH(Ekwipunek!$H$9,Obl!$B$3:$B$94,0)+_xlfn.XLOOKUP(AB$16,Obl!$Q$18:$Q$24,Obl!$R$18:$R$24,,-1),7)</f>
        <v>d20+dex</v>
      </c>
      <c r="AB23" s="183" t="s">
        <v>189</v>
      </c>
      <c r="AC23" s="184" cm="1">
        <f t="array" aca="1" ref="AC23" ca="1">INDEX($B$3:$M$94,MATCH(Ekwipunek!$H$9,Obl!$B$3:$B$94,0)+_xlfn.XLOOKUP(AB$16,Obl!$Q$18:$Q$24,Obl!$R$18:$R$24,,-1),9)</f>
        <v>1</v>
      </c>
      <c r="AD23" s="181" t="s">
        <v>186</v>
      </c>
      <c r="AE23" s="182" t="str" cm="1">
        <f t="array" aca="1" ref="AE23" ca="1">INDEX($B$3:$M$94,MATCH(Ekwipunek!$H$9,Obl!$B$3:$B$94,0)+_xlfn.XLOOKUP(AF$16,Obl!$Q$18:$Q$24,Obl!$R$18:$R$24,,-1),7)</f>
        <v>d20+dex</v>
      </c>
      <c r="AF23" s="183" t="s">
        <v>189</v>
      </c>
      <c r="AG23" s="184" cm="1">
        <f t="array" aca="1" ref="AG23" ca="1">INDEX($B$3:$M$94,MATCH(Ekwipunek!$H$9,Obl!$B$3:$B$94,0)+_xlfn.XLOOKUP(AF$16,Obl!$Q$18:$Q$24,Obl!$R$18:$R$24,,-1),9)</f>
        <v>1</v>
      </c>
      <c r="AH23" s="181" t="s">
        <v>186</v>
      </c>
      <c r="AI23" s="182" t="str" cm="1">
        <f t="array" aca="1" ref="AI23" ca="1">INDEX($B$3:$M$94,MATCH(Ekwipunek!$H$9,Obl!$B$3:$B$94,0)+_xlfn.XLOOKUP(AJ$16,Obl!$Q$18:$Q$24,Obl!$R$18:$R$24,,-1),7)</f>
        <v>d20+dex</v>
      </c>
      <c r="AJ23" s="183" t="s">
        <v>189</v>
      </c>
      <c r="AK23" s="184" cm="1">
        <f t="array" aca="1" ref="AK23" ca="1">INDEX($B$3:$M$94,MATCH(Ekwipunek!$H$9,Obl!$B$3:$B$94,0)+_xlfn.XLOOKUP(AJ$16,Obl!$Q$18:$Q$24,Obl!$R$18:$R$24,,-1),9)</f>
        <v>1</v>
      </c>
      <c r="AL23" s="181" t="s">
        <v>186</v>
      </c>
      <c r="AM23" s="182" t="str" cm="1">
        <f t="array" aca="1" ref="AM23" ca="1">INDEX($B$3:$M$94,MATCH(Ekwipunek!$H$9,Obl!$B$3:$B$94,0)+_xlfn.XLOOKUP(AN$16,Obl!$Q$18:$Q$24,Obl!$R$18:$R$24,,-1),7)</f>
        <v>d20+dex</v>
      </c>
      <c r="AN23" s="183" t="s">
        <v>189</v>
      </c>
      <c r="AO23" s="184" cm="1">
        <f t="array" aca="1" ref="AO23" ca="1">INDEX($B$3:$M$94,MATCH(Ekwipunek!$H$9,Obl!$B$3:$B$94,0)+_xlfn.XLOOKUP(AN$16,Obl!$Q$18:$Q$24,Obl!$R$18:$R$24,,-1),9)</f>
        <v>1</v>
      </c>
    </row>
    <row r="24" spans="1:41" ht="16.5" thickTop="1" thickBot="1" x14ac:dyDescent="0.3">
      <c r="A24" s="435"/>
      <c r="B24" s="434" t="s">
        <v>428</v>
      </c>
      <c r="C24" s="374">
        <v>0</v>
      </c>
      <c r="D24" s="374">
        <f>COUNT(C24:C26)</f>
        <v>3</v>
      </c>
      <c r="E24" s="375" t="s">
        <v>279</v>
      </c>
      <c r="F24" s="376">
        <v>2</v>
      </c>
      <c r="G24" s="376" t="s">
        <v>246</v>
      </c>
      <c r="H24" s="376" t="s">
        <v>34</v>
      </c>
      <c r="I24" s="376" t="s">
        <v>42</v>
      </c>
      <c r="J24" s="376">
        <v>1</v>
      </c>
      <c r="K24" s="376" t="s">
        <v>195</v>
      </c>
      <c r="L24" s="456" t="s">
        <v>289</v>
      </c>
      <c r="M24" s="484">
        <v>45</v>
      </c>
      <c r="N24" s="5"/>
      <c r="O24" s="443" t="s">
        <v>443</v>
      </c>
      <c r="R24">
        <v>6</v>
      </c>
      <c r="Z24" s="185" t="s">
        <v>187</v>
      </c>
      <c r="AA24" s="186" t="str" cm="1">
        <f t="array" aca="1" ref="AA24" ca="1">INDEX($B$3:$M$94,MATCH(Ekwipunek!$H$9,Obl!$B$3:$B$94,0)+_xlfn.XLOOKUP(AB$16,Obl!$Q$18:$Q$24,Obl!$R$18:$R$24,,-1),6)</f>
        <v>Mele</v>
      </c>
      <c r="AB24" s="187" t="s">
        <v>196</v>
      </c>
      <c r="AC24" s="188" t="str" cm="1">
        <f t="array" aca="1" ref="AC24" ca="1">INDEX($B$3:$M$94,MATCH(Ekwipunek!$H$9,Obl!$B$3:$B$94,0)+_xlfn.XLOOKUP(AB$16,Obl!$Q$18:$Q$24,Obl!$R$18:$R$24,,-1),10)</f>
        <v>Gracza</v>
      </c>
      <c r="AD24" s="185" t="s">
        <v>187</v>
      </c>
      <c r="AE24" s="186" t="str" cm="1">
        <f t="array" aca="1" ref="AE24" ca="1">INDEX($B$3:$M$94,MATCH(Ekwipunek!$H$9,Obl!$B$3:$B$94,0)+_xlfn.XLOOKUP(AF$16,Obl!$Q$18:$Q$24,Obl!$R$18:$R$24,,-1),6)</f>
        <v>Mele</v>
      </c>
      <c r="AF24" s="187" t="s">
        <v>196</v>
      </c>
      <c r="AG24" s="188" t="str" cm="1">
        <f t="array" aca="1" ref="AG24" ca="1">INDEX($B$3:$M$94,MATCH(Ekwipunek!$H$9,Obl!$B$3:$B$94,0)+_xlfn.XLOOKUP(AF$16,Obl!$Q$18:$Q$24,Obl!$R$18:$R$24,,-1),10)</f>
        <v>Gracza</v>
      </c>
      <c r="AH24" s="185" t="s">
        <v>187</v>
      </c>
      <c r="AI24" s="186" t="str" cm="1">
        <f t="array" aca="1" ref="AI24" ca="1">INDEX($B$3:$M$94,MATCH(Ekwipunek!$H$9,Obl!$B$3:$B$94,0)+_xlfn.XLOOKUP(AJ$16,Obl!$Q$18:$Q$24,Obl!$R$18:$R$24,,-1),6)</f>
        <v>Mele</v>
      </c>
      <c r="AJ24" s="187" t="s">
        <v>196</v>
      </c>
      <c r="AK24" s="188" t="str" cm="1">
        <f t="array" aca="1" ref="AK24" ca="1">INDEX($B$3:$M$94,MATCH(Ekwipunek!$H$9,Obl!$B$3:$B$94,0)+_xlfn.XLOOKUP(AJ$16,Obl!$Q$18:$Q$24,Obl!$R$18:$R$24,,-1),10)</f>
        <v>Gracza</v>
      </c>
      <c r="AL24" s="185" t="s">
        <v>187</v>
      </c>
      <c r="AM24" s="186" t="str" cm="1">
        <f t="array" aca="1" ref="AM24" ca="1">INDEX($B$3:$M$94,MATCH(Ekwipunek!$H$9,Obl!$B$3:$B$94,0)+_xlfn.XLOOKUP(AN$16,Obl!$Q$18:$Q$24,Obl!$R$18:$R$24,,-1),6)</f>
        <v>Mele</v>
      </c>
      <c r="AN24" s="187" t="s">
        <v>196</v>
      </c>
      <c r="AO24" s="188" t="str" cm="1">
        <f t="array" aca="1" ref="AO24" ca="1">INDEX($B$3:$M$94,MATCH(Ekwipunek!$H$9,Obl!$B$3:$B$94,0)+_xlfn.XLOOKUP(AN$16,Obl!$Q$18:$Q$24,Obl!$R$18:$R$24,,-1),10)</f>
        <v>Gracza</v>
      </c>
    </row>
    <row r="25" spans="1:41" ht="15.75" thickTop="1" x14ac:dyDescent="0.25">
      <c r="A25" s="435"/>
      <c r="B25" s="423"/>
      <c r="C25" s="378">
        <v>5</v>
      </c>
      <c r="D25" s="378"/>
      <c r="E25" s="379" t="s">
        <v>286</v>
      </c>
      <c r="F25" s="380">
        <v>3</v>
      </c>
      <c r="G25" s="380" t="s">
        <v>246</v>
      </c>
      <c r="H25" s="380" t="s">
        <v>242</v>
      </c>
      <c r="I25" s="380" t="s">
        <v>287</v>
      </c>
      <c r="J25" s="380" t="s">
        <v>288</v>
      </c>
      <c r="K25" s="380" t="s">
        <v>195</v>
      </c>
      <c r="L25" s="390" t="s">
        <v>290</v>
      </c>
      <c r="M25" s="389"/>
      <c r="O25" s="443" t="s">
        <v>444</v>
      </c>
    </row>
    <row r="26" spans="1:41" ht="15.75" thickBot="1" x14ac:dyDescent="0.3">
      <c r="A26" s="435"/>
      <c r="B26" s="424"/>
      <c r="C26" s="364">
        <v>10</v>
      </c>
      <c r="D26" s="364"/>
      <c r="E26" s="365" t="s">
        <v>285</v>
      </c>
      <c r="F26" s="366">
        <v>2</v>
      </c>
      <c r="G26" s="366" t="s">
        <v>38</v>
      </c>
      <c r="H26" s="366" t="s">
        <v>34</v>
      </c>
      <c r="I26" s="367" t="s">
        <v>42</v>
      </c>
      <c r="J26" s="367">
        <v>1</v>
      </c>
      <c r="K26" s="367" t="s">
        <v>195</v>
      </c>
      <c r="L26" s="391" t="s">
        <v>291</v>
      </c>
      <c r="M26" s="392"/>
      <c r="O26" s="518" t="s">
        <v>445</v>
      </c>
    </row>
    <row r="27" spans="1:41" ht="15.75" thickTop="1" x14ac:dyDescent="0.25">
      <c r="A27" s="435"/>
      <c r="B27" s="422" t="s">
        <v>429</v>
      </c>
      <c r="C27" s="350">
        <v>0</v>
      </c>
      <c r="D27" s="350">
        <f>COUNT(C27:C30)</f>
        <v>4</v>
      </c>
      <c r="E27" s="351" t="s">
        <v>249</v>
      </c>
      <c r="F27" s="352">
        <v>2</v>
      </c>
      <c r="G27" s="352" t="s">
        <v>246</v>
      </c>
      <c r="H27" s="352" t="s">
        <v>34</v>
      </c>
      <c r="I27" s="352" t="s">
        <v>292</v>
      </c>
      <c r="J27" s="352" t="s">
        <v>293</v>
      </c>
      <c r="K27" s="352" t="s">
        <v>195</v>
      </c>
      <c r="L27" s="353" t="s">
        <v>294</v>
      </c>
      <c r="M27" s="393">
        <v>60</v>
      </c>
      <c r="O27" s="443" t="s">
        <v>450</v>
      </c>
    </row>
    <row r="28" spans="1:41" x14ac:dyDescent="0.25">
      <c r="A28" s="435"/>
      <c r="B28" s="423"/>
      <c r="C28" s="355">
        <v>1</v>
      </c>
      <c r="D28" s="355"/>
      <c r="E28" s="356" t="s">
        <v>295</v>
      </c>
      <c r="F28" s="357">
        <v>2</v>
      </c>
      <c r="G28" s="357" t="s">
        <v>296</v>
      </c>
      <c r="H28" s="357" t="s">
        <v>34</v>
      </c>
      <c r="I28" s="357" t="s">
        <v>292</v>
      </c>
      <c r="J28" s="357" t="s">
        <v>297</v>
      </c>
      <c r="K28" s="357" t="s">
        <v>195</v>
      </c>
      <c r="L28" s="358" t="s">
        <v>298</v>
      </c>
      <c r="M28" s="394"/>
      <c r="O28" s="443" t="s">
        <v>447</v>
      </c>
    </row>
    <row r="29" spans="1:41" x14ac:dyDescent="0.25">
      <c r="A29" s="435"/>
      <c r="B29" s="423"/>
      <c r="C29" s="378">
        <v>2</v>
      </c>
      <c r="D29" s="378"/>
      <c r="E29" s="379" t="s">
        <v>299</v>
      </c>
      <c r="F29" s="380">
        <v>1</v>
      </c>
      <c r="G29" s="380" t="s">
        <v>296</v>
      </c>
      <c r="H29" s="380"/>
      <c r="I29" s="395"/>
      <c r="J29" s="395">
        <v>3</v>
      </c>
      <c r="K29" s="395" t="s">
        <v>235</v>
      </c>
      <c r="L29" s="380" t="s">
        <v>300</v>
      </c>
      <c r="M29" s="394"/>
      <c r="O29" s="443" t="s">
        <v>448</v>
      </c>
    </row>
    <row r="30" spans="1:41" ht="15.75" thickBot="1" x14ac:dyDescent="0.3">
      <c r="A30" s="435"/>
      <c r="B30" s="424"/>
      <c r="C30" s="396">
        <v>10</v>
      </c>
      <c r="D30" s="499"/>
      <c r="E30" s="397" t="s">
        <v>277</v>
      </c>
      <c r="F30" s="398">
        <v>1</v>
      </c>
      <c r="G30" s="398"/>
      <c r="H30" s="398"/>
      <c r="I30" s="398"/>
      <c r="J30" s="398"/>
      <c r="K30" s="398" t="s">
        <v>301</v>
      </c>
      <c r="L30" s="399" t="s">
        <v>302</v>
      </c>
      <c r="M30" s="400"/>
      <c r="O30" s="519" t="s">
        <v>451</v>
      </c>
    </row>
    <row r="31" spans="1:41" ht="16.5" thickTop="1" thickBot="1" x14ac:dyDescent="0.3">
      <c r="A31" s="435"/>
      <c r="B31" s="422" t="s">
        <v>430</v>
      </c>
      <c r="C31" s="350">
        <v>0</v>
      </c>
      <c r="D31" s="350">
        <f>COUNT(C31:C33)</f>
        <v>3</v>
      </c>
      <c r="E31" s="351" t="s">
        <v>304</v>
      </c>
      <c r="F31" s="352">
        <v>2</v>
      </c>
      <c r="G31" s="352" t="s">
        <v>38</v>
      </c>
      <c r="H31" s="352" t="s">
        <v>43</v>
      </c>
      <c r="I31" s="352" t="s">
        <v>42</v>
      </c>
      <c r="J31" s="352">
        <v>1</v>
      </c>
      <c r="K31" s="352" t="s">
        <v>195</v>
      </c>
      <c r="L31" s="401" t="s">
        <v>305</v>
      </c>
      <c r="M31" s="402">
        <v>30</v>
      </c>
    </row>
    <row r="32" spans="1:41" ht="16.5" thickTop="1" thickBot="1" x14ac:dyDescent="0.3">
      <c r="A32" s="435"/>
      <c r="B32" s="423"/>
      <c r="C32" s="355">
        <v>6</v>
      </c>
      <c r="D32" s="355"/>
      <c r="E32" s="356" t="s">
        <v>308</v>
      </c>
      <c r="F32" s="357">
        <v>3</v>
      </c>
      <c r="G32" s="357" t="s">
        <v>38</v>
      </c>
      <c r="H32" s="357" t="s">
        <v>45</v>
      </c>
      <c r="I32" s="357" t="s">
        <v>42</v>
      </c>
      <c r="J32" s="357">
        <v>1</v>
      </c>
      <c r="K32" s="357" t="s">
        <v>306</v>
      </c>
      <c r="L32" s="403" t="s">
        <v>309</v>
      </c>
      <c r="M32" s="402"/>
    </row>
    <row r="33" spans="1:13" ht="16.5" thickTop="1" thickBot="1" x14ac:dyDescent="0.3">
      <c r="A33" s="435"/>
      <c r="B33" s="424"/>
      <c r="C33" s="370">
        <v>10</v>
      </c>
      <c r="D33" s="370"/>
      <c r="E33" s="371" t="s">
        <v>307</v>
      </c>
      <c r="F33" s="372">
        <v>2</v>
      </c>
      <c r="G33" s="372" t="s">
        <v>33</v>
      </c>
      <c r="H33" s="372" t="s">
        <v>45</v>
      </c>
      <c r="I33" s="373" t="s">
        <v>46</v>
      </c>
      <c r="J33" s="373">
        <v>1</v>
      </c>
      <c r="K33" s="373" t="s">
        <v>306</v>
      </c>
      <c r="L33" s="404" t="s">
        <v>303</v>
      </c>
      <c r="M33" s="402"/>
    </row>
    <row r="34" spans="1:13" ht="16.5" thickTop="1" thickBot="1" x14ac:dyDescent="0.3">
      <c r="A34" s="435"/>
      <c r="B34" s="422" t="s">
        <v>431</v>
      </c>
      <c r="C34" s="374">
        <v>0</v>
      </c>
      <c r="D34" s="374">
        <f>COUNT(C34:C36)</f>
        <v>3</v>
      </c>
      <c r="E34" s="375" t="s">
        <v>275</v>
      </c>
      <c r="F34" s="376">
        <v>2</v>
      </c>
      <c r="G34" s="376" t="s">
        <v>47</v>
      </c>
      <c r="H34" s="376" t="s">
        <v>34</v>
      </c>
      <c r="I34" s="376" t="s">
        <v>44</v>
      </c>
      <c r="J34" s="376">
        <v>3</v>
      </c>
      <c r="K34" s="376" t="s">
        <v>243</v>
      </c>
      <c r="L34" s="388" t="s">
        <v>273</v>
      </c>
      <c r="M34" s="402">
        <v>20</v>
      </c>
    </row>
    <row r="35" spans="1:13" ht="16.5" thickTop="1" thickBot="1" x14ac:dyDescent="0.3">
      <c r="A35" s="435"/>
      <c r="B35" s="423"/>
      <c r="C35" s="378">
        <v>5</v>
      </c>
      <c r="D35" s="378"/>
      <c r="E35" s="379" t="s">
        <v>274</v>
      </c>
      <c r="F35" s="380">
        <v>1</v>
      </c>
      <c r="G35" s="380" t="s">
        <v>47</v>
      </c>
      <c r="H35" s="380" t="s">
        <v>34</v>
      </c>
      <c r="I35" s="380" t="s">
        <v>44</v>
      </c>
      <c r="J35" s="380">
        <v>3</v>
      </c>
      <c r="K35" s="380" t="s">
        <v>257</v>
      </c>
      <c r="L35" s="390" t="s">
        <v>276</v>
      </c>
      <c r="M35" s="402"/>
    </row>
    <row r="36" spans="1:13" ht="16.5" thickTop="1" thickBot="1" x14ac:dyDescent="0.3">
      <c r="A36" s="435"/>
      <c r="B36" s="424"/>
      <c r="C36" s="364">
        <v>10</v>
      </c>
      <c r="D36" s="364"/>
      <c r="E36" s="365" t="s">
        <v>277</v>
      </c>
      <c r="F36" s="366">
        <v>0</v>
      </c>
      <c r="G36" s="366"/>
      <c r="H36" s="366"/>
      <c r="I36" s="367"/>
      <c r="J36" s="367"/>
      <c r="K36" s="367" t="s">
        <v>195</v>
      </c>
      <c r="L36" s="391" t="s">
        <v>310</v>
      </c>
      <c r="M36" s="402"/>
    </row>
    <row r="37" spans="1:13" ht="16.5" thickTop="1" thickBot="1" x14ac:dyDescent="0.3">
      <c r="A37" s="435"/>
      <c r="B37" s="422" t="s">
        <v>449</v>
      </c>
      <c r="C37" s="350">
        <v>0</v>
      </c>
      <c r="D37" s="350">
        <f>COUNT(C37:C40)</f>
        <v>4</v>
      </c>
      <c r="E37" s="351" t="s">
        <v>312</v>
      </c>
      <c r="F37" s="352">
        <v>1</v>
      </c>
      <c r="G37" s="352" t="s">
        <v>38</v>
      </c>
      <c r="H37" s="352" t="s">
        <v>34</v>
      </c>
      <c r="I37" s="352" t="s">
        <v>313</v>
      </c>
      <c r="J37" s="352">
        <v>2</v>
      </c>
      <c r="K37" s="352" t="s">
        <v>195</v>
      </c>
      <c r="L37" s="405" t="s">
        <v>314</v>
      </c>
      <c r="M37" s="402">
        <v>25</v>
      </c>
    </row>
    <row r="38" spans="1:13" ht="16.5" thickTop="1" thickBot="1" x14ac:dyDescent="0.3">
      <c r="A38" s="435"/>
      <c r="B38" s="423"/>
      <c r="C38" s="374">
        <v>3</v>
      </c>
      <c r="D38" s="374"/>
      <c r="E38" s="375" t="s">
        <v>316</v>
      </c>
      <c r="F38" s="376">
        <v>1</v>
      </c>
      <c r="G38" s="376" t="s">
        <v>47</v>
      </c>
      <c r="H38" s="376" t="s">
        <v>34</v>
      </c>
      <c r="I38" s="376" t="s">
        <v>40</v>
      </c>
      <c r="J38" s="376">
        <v>1</v>
      </c>
      <c r="K38" s="376" t="s">
        <v>195</v>
      </c>
      <c r="L38" s="388" t="s">
        <v>317</v>
      </c>
      <c r="M38" s="402"/>
    </row>
    <row r="39" spans="1:13" ht="16.5" thickTop="1" thickBot="1" x14ac:dyDescent="0.3">
      <c r="A39" s="435"/>
      <c r="B39" s="423"/>
      <c r="C39" s="378">
        <v>6</v>
      </c>
      <c r="D39" s="378"/>
      <c r="E39" s="379" t="s">
        <v>311</v>
      </c>
      <c r="F39" s="380">
        <v>1.5</v>
      </c>
      <c r="G39" s="380" t="s">
        <v>38</v>
      </c>
      <c r="H39" s="380" t="s">
        <v>34</v>
      </c>
      <c r="I39" s="380" t="s">
        <v>313</v>
      </c>
      <c r="J39" s="380">
        <v>3</v>
      </c>
      <c r="K39" s="380" t="s">
        <v>195</v>
      </c>
      <c r="L39" s="390" t="s">
        <v>315</v>
      </c>
      <c r="M39" s="402"/>
    </row>
    <row r="40" spans="1:13" ht="16.5" thickTop="1" thickBot="1" x14ac:dyDescent="0.3">
      <c r="A40" s="435"/>
      <c r="B40" s="424"/>
      <c r="C40" s="364">
        <v>10</v>
      </c>
      <c r="D40" s="364"/>
      <c r="E40" s="365" t="s">
        <v>316</v>
      </c>
      <c r="F40" s="366">
        <v>1.5</v>
      </c>
      <c r="G40" s="366" t="s">
        <v>38</v>
      </c>
      <c r="H40" s="366" t="s">
        <v>34</v>
      </c>
      <c r="I40" s="367" t="s">
        <v>313</v>
      </c>
      <c r="J40" s="367">
        <v>6</v>
      </c>
      <c r="K40" s="367" t="s">
        <v>257</v>
      </c>
      <c r="L40" s="391" t="s">
        <v>318</v>
      </c>
      <c r="M40" s="402"/>
    </row>
    <row r="41" spans="1:13" ht="16.5" thickTop="1" thickBot="1" x14ac:dyDescent="0.3">
      <c r="A41" s="435"/>
      <c r="B41" s="422" t="s">
        <v>433</v>
      </c>
      <c r="C41" s="350">
        <v>0</v>
      </c>
      <c r="D41" s="350">
        <f>COUNT(C41:C44)</f>
        <v>4</v>
      </c>
      <c r="E41" s="351" t="s">
        <v>249</v>
      </c>
      <c r="F41" s="352">
        <v>2</v>
      </c>
      <c r="G41" s="352" t="s">
        <v>38</v>
      </c>
      <c r="H41" s="352" t="s">
        <v>34</v>
      </c>
      <c r="I41" s="352" t="s">
        <v>321</v>
      </c>
      <c r="J41" s="352">
        <v>3</v>
      </c>
      <c r="K41" s="352" t="s">
        <v>243</v>
      </c>
      <c r="L41" s="405" t="s">
        <v>320</v>
      </c>
      <c r="M41" s="500">
        <v>75</v>
      </c>
    </row>
    <row r="42" spans="1:13" ht="16.5" thickTop="1" thickBot="1" x14ac:dyDescent="0.3">
      <c r="A42" s="435"/>
      <c r="B42" s="423"/>
      <c r="C42" s="355">
        <v>1</v>
      </c>
      <c r="D42" s="355"/>
      <c r="E42" s="356" t="s">
        <v>323</v>
      </c>
      <c r="F42" s="357">
        <v>2</v>
      </c>
      <c r="G42" s="357" t="s">
        <v>38</v>
      </c>
      <c r="H42" s="357" t="s">
        <v>43</v>
      </c>
      <c r="I42" s="357" t="s">
        <v>49</v>
      </c>
      <c r="J42" s="357">
        <v>1</v>
      </c>
      <c r="K42" s="357" t="s">
        <v>195</v>
      </c>
      <c r="L42" s="403" t="s">
        <v>305</v>
      </c>
      <c r="M42" s="500"/>
    </row>
    <row r="43" spans="1:13" ht="16.5" thickTop="1" thickBot="1" x14ac:dyDescent="0.3">
      <c r="A43" s="435"/>
      <c r="B43" s="423"/>
      <c r="C43" s="360">
        <v>2</v>
      </c>
      <c r="D43" s="360"/>
      <c r="E43" s="361" t="s">
        <v>325</v>
      </c>
      <c r="F43" s="362">
        <v>2</v>
      </c>
      <c r="G43" s="362" t="s">
        <v>47</v>
      </c>
      <c r="H43" s="362" t="s">
        <v>43</v>
      </c>
      <c r="I43" s="362" t="s">
        <v>48</v>
      </c>
      <c r="J43" s="362">
        <v>1</v>
      </c>
      <c r="K43" s="362" t="s">
        <v>195</v>
      </c>
      <c r="L43" s="406" t="s">
        <v>326</v>
      </c>
      <c r="M43" s="500"/>
    </row>
    <row r="44" spans="1:13" ht="16.5" thickTop="1" thickBot="1" x14ac:dyDescent="0.3">
      <c r="A44" s="435"/>
      <c r="B44" s="432"/>
      <c r="C44" s="364">
        <v>3</v>
      </c>
      <c r="D44" s="364"/>
      <c r="E44" s="365" t="s">
        <v>324</v>
      </c>
      <c r="F44" s="366">
        <v>2</v>
      </c>
      <c r="G44" s="366" t="s">
        <v>38</v>
      </c>
      <c r="H44" s="366" t="s">
        <v>322</v>
      </c>
      <c r="I44" s="367" t="s">
        <v>44</v>
      </c>
      <c r="J44" s="367">
        <v>1</v>
      </c>
      <c r="K44" s="367" t="s">
        <v>195</v>
      </c>
      <c r="L44" s="391" t="s">
        <v>319</v>
      </c>
      <c r="M44" s="500"/>
    </row>
    <row r="45" spans="1:13" ht="15.75" thickTop="1" x14ac:dyDescent="0.25">
      <c r="A45" s="435"/>
      <c r="B45" s="474" t="s">
        <v>434</v>
      </c>
      <c r="C45" s="350">
        <v>0</v>
      </c>
      <c r="D45" s="350">
        <f>COUNT(C45:C48)</f>
        <v>4</v>
      </c>
      <c r="E45" s="351" t="s">
        <v>328</v>
      </c>
      <c r="F45" s="352">
        <v>2</v>
      </c>
      <c r="G45" s="352" t="s">
        <v>50</v>
      </c>
      <c r="H45" s="352" t="s">
        <v>34</v>
      </c>
      <c r="I45" s="352" t="s">
        <v>51</v>
      </c>
      <c r="J45" s="352">
        <v>1</v>
      </c>
      <c r="K45" s="352" t="s">
        <v>195</v>
      </c>
      <c r="L45" s="405" t="s">
        <v>359</v>
      </c>
      <c r="M45" s="501">
        <v>25</v>
      </c>
    </row>
    <row r="46" spans="1:13" x14ac:dyDescent="0.25">
      <c r="A46" s="435"/>
      <c r="B46" s="475"/>
      <c r="C46" s="355">
        <v>4</v>
      </c>
      <c r="D46" s="355"/>
      <c r="E46" s="356" t="s">
        <v>329</v>
      </c>
      <c r="F46" s="357">
        <v>2</v>
      </c>
      <c r="G46" s="357" t="s">
        <v>50</v>
      </c>
      <c r="H46" s="357" t="s">
        <v>37</v>
      </c>
      <c r="I46" s="357" t="s">
        <v>51</v>
      </c>
      <c r="J46" s="357">
        <v>1</v>
      </c>
      <c r="K46" s="357" t="s">
        <v>195</v>
      </c>
      <c r="L46" s="403" t="s">
        <v>358</v>
      </c>
      <c r="M46" s="389"/>
    </row>
    <row r="47" spans="1:13" x14ac:dyDescent="0.25">
      <c r="A47" s="435"/>
      <c r="B47" s="475"/>
      <c r="C47" s="360">
        <v>7</v>
      </c>
      <c r="D47" s="360"/>
      <c r="E47" s="361" t="s">
        <v>332</v>
      </c>
      <c r="F47" s="362">
        <v>2</v>
      </c>
      <c r="G47" s="362" t="s">
        <v>50</v>
      </c>
      <c r="H47" s="362" t="s">
        <v>34</v>
      </c>
      <c r="I47" s="362" t="s">
        <v>333</v>
      </c>
      <c r="J47" s="362">
        <v>1</v>
      </c>
      <c r="K47" s="362" t="s">
        <v>195</v>
      </c>
      <c r="L47" s="406" t="s">
        <v>357</v>
      </c>
      <c r="M47" s="389"/>
    </row>
    <row r="48" spans="1:13" ht="15.75" thickBot="1" x14ac:dyDescent="0.3">
      <c r="A48" s="435"/>
      <c r="B48" s="476"/>
      <c r="C48" s="364">
        <v>10</v>
      </c>
      <c r="D48" s="364"/>
      <c r="E48" s="365" t="s">
        <v>330</v>
      </c>
      <c r="F48" s="366">
        <v>2</v>
      </c>
      <c r="G48" s="366" t="s">
        <v>50</v>
      </c>
      <c r="H48" s="366" t="s">
        <v>327</v>
      </c>
      <c r="I48" s="367" t="s">
        <v>53</v>
      </c>
      <c r="J48" s="367">
        <v>1</v>
      </c>
      <c r="K48" s="367" t="s">
        <v>195</v>
      </c>
      <c r="L48" s="391" t="s">
        <v>356</v>
      </c>
      <c r="M48" s="392"/>
    </row>
    <row r="49" spans="1:13" ht="16.5" thickTop="1" thickBot="1" x14ac:dyDescent="0.3">
      <c r="A49" s="435"/>
      <c r="B49" s="477" t="s">
        <v>435</v>
      </c>
      <c r="C49" s="350">
        <v>0</v>
      </c>
      <c r="D49" s="350">
        <f>COUNT(C49:C52)</f>
        <v>4</v>
      </c>
      <c r="E49" s="351" t="s">
        <v>328</v>
      </c>
      <c r="F49" s="352">
        <v>3</v>
      </c>
      <c r="G49" s="352" t="s">
        <v>52</v>
      </c>
      <c r="H49" s="352" t="s">
        <v>34</v>
      </c>
      <c r="I49" s="352" t="s">
        <v>53</v>
      </c>
      <c r="J49" s="352">
        <v>1</v>
      </c>
      <c r="K49" s="352" t="s">
        <v>195</v>
      </c>
      <c r="L49" s="405" t="s">
        <v>355</v>
      </c>
      <c r="M49" s="402">
        <v>80</v>
      </c>
    </row>
    <row r="50" spans="1:13" ht="16.5" thickTop="1" thickBot="1" x14ac:dyDescent="0.3">
      <c r="A50" s="435"/>
      <c r="B50" s="475"/>
      <c r="C50" s="374">
        <v>4</v>
      </c>
      <c r="D50" s="374"/>
      <c r="E50" s="375" t="s">
        <v>335</v>
      </c>
      <c r="F50" s="376">
        <v>2</v>
      </c>
      <c r="G50" s="376" t="s">
        <v>52</v>
      </c>
      <c r="H50" s="376" t="s">
        <v>34</v>
      </c>
      <c r="I50" s="376" t="s">
        <v>53</v>
      </c>
      <c r="J50" s="376">
        <v>1</v>
      </c>
      <c r="K50" s="376" t="s">
        <v>235</v>
      </c>
      <c r="L50" s="388" t="s">
        <v>354</v>
      </c>
      <c r="M50" s="402"/>
    </row>
    <row r="51" spans="1:13" ht="16.5" thickTop="1" thickBot="1" x14ac:dyDescent="0.3">
      <c r="A51" s="435"/>
      <c r="B51" s="475"/>
      <c r="C51" s="378">
        <v>8</v>
      </c>
      <c r="D51" s="378"/>
      <c r="E51" s="379" t="s">
        <v>331</v>
      </c>
      <c r="F51" s="380">
        <v>3</v>
      </c>
      <c r="G51" s="380" t="s">
        <v>52</v>
      </c>
      <c r="H51" s="380" t="s">
        <v>43</v>
      </c>
      <c r="I51" s="380" t="s">
        <v>334</v>
      </c>
      <c r="J51" s="380" t="s">
        <v>336</v>
      </c>
      <c r="K51" s="380" t="s">
        <v>195</v>
      </c>
      <c r="L51" s="390" t="s">
        <v>353</v>
      </c>
      <c r="M51" s="402"/>
    </row>
    <row r="52" spans="1:13" ht="16.5" thickTop="1" thickBot="1" x14ac:dyDescent="0.3">
      <c r="A52" s="435"/>
      <c r="B52" s="478"/>
      <c r="C52" s="364">
        <v>10</v>
      </c>
      <c r="D52" s="364"/>
      <c r="E52" s="365" t="s">
        <v>330</v>
      </c>
      <c r="F52" s="366">
        <v>3</v>
      </c>
      <c r="G52" s="366" t="s">
        <v>52</v>
      </c>
      <c r="H52" s="366" t="s">
        <v>34</v>
      </c>
      <c r="I52" s="367" t="s">
        <v>337</v>
      </c>
      <c r="J52" s="367">
        <v>1</v>
      </c>
      <c r="K52" s="367" t="s">
        <v>195</v>
      </c>
      <c r="L52" s="391" t="s">
        <v>237</v>
      </c>
      <c r="M52" s="402"/>
    </row>
    <row r="53" spans="1:13" ht="15.75" thickTop="1" x14ac:dyDescent="0.25">
      <c r="A53" s="435"/>
      <c r="B53" s="469" t="s">
        <v>436</v>
      </c>
      <c r="C53" s="350">
        <v>0</v>
      </c>
      <c r="D53" s="350">
        <f>COUNT(C53:C55)</f>
        <v>3</v>
      </c>
      <c r="E53" s="351" t="s">
        <v>328</v>
      </c>
      <c r="F53" s="352">
        <v>1</v>
      </c>
      <c r="G53" s="352" t="s">
        <v>50</v>
      </c>
      <c r="H53" s="352" t="s">
        <v>34</v>
      </c>
      <c r="I53" s="352" t="s">
        <v>58</v>
      </c>
      <c r="J53" s="352">
        <v>1</v>
      </c>
      <c r="K53" s="352" t="s">
        <v>195</v>
      </c>
      <c r="L53" s="353" t="s">
        <v>343</v>
      </c>
      <c r="M53" s="354">
        <v>65</v>
      </c>
    </row>
    <row r="54" spans="1:13" x14ac:dyDescent="0.25">
      <c r="A54" s="502"/>
      <c r="B54" s="470"/>
      <c r="C54" s="355">
        <v>7</v>
      </c>
      <c r="D54" s="355"/>
      <c r="E54" s="356" t="s">
        <v>338</v>
      </c>
      <c r="F54" s="452">
        <v>1.5</v>
      </c>
      <c r="G54" s="357" t="s">
        <v>339</v>
      </c>
      <c r="H54" s="357" t="s">
        <v>43</v>
      </c>
      <c r="I54" s="357" t="s">
        <v>99</v>
      </c>
      <c r="J54" s="357">
        <v>3</v>
      </c>
      <c r="K54" s="357" t="s">
        <v>195</v>
      </c>
      <c r="L54" s="358" t="s">
        <v>342</v>
      </c>
      <c r="M54" s="359"/>
    </row>
    <row r="55" spans="1:13" ht="15.75" thickBot="1" x14ac:dyDescent="0.3">
      <c r="A55" s="502"/>
      <c r="B55" s="471"/>
      <c r="C55" s="370">
        <v>10</v>
      </c>
      <c r="D55" s="370"/>
      <c r="E55" s="371" t="s">
        <v>340</v>
      </c>
      <c r="F55" s="372">
        <v>2</v>
      </c>
      <c r="G55" s="372">
        <v>120</v>
      </c>
      <c r="H55" s="372"/>
      <c r="I55" s="373" t="s">
        <v>67</v>
      </c>
      <c r="J55" s="373" t="s">
        <v>341</v>
      </c>
      <c r="K55" s="373" t="s">
        <v>195</v>
      </c>
      <c r="L55" s="372" t="s">
        <v>352</v>
      </c>
      <c r="M55" s="368"/>
    </row>
    <row r="56" spans="1:13" ht="15.75" thickTop="1" x14ac:dyDescent="0.25">
      <c r="A56" s="502"/>
      <c r="B56" s="422" t="s">
        <v>437</v>
      </c>
      <c r="C56" s="374">
        <v>0</v>
      </c>
      <c r="D56" s="374">
        <f>COUNT(C56:C58)</f>
        <v>3</v>
      </c>
      <c r="E56" s="375" t="s">
        <v>328</v>
      </c>
      <c r="F56" s="376">
        <v>2</v>
      </c>
      <c r="G56" s="376" t="s">
        <v>59</v>
      </c>
      <c r="H56" s="376" t="s">
        <v>34</v>
      </c>
      <c r="I56" s="376" t="s">
        <v>36</v>
      </c>
      <c r="J56" s="376">
        <v>1</v>
      </c>
      <c r="K56" s="376" t="s">
        <v>195</v>
      </c>
      <c r="L56" s="377" t="s">
        <v>350</v>
      </c>
      <c r="M56" s="369">
        <v>100</v>
      </c>
    </row>
    <row r="57" spans="1:13" x14ac:dyDescent="0.25">
      <c r="A57" s="502"/>
      <c r="B57" s="423"/>
      <c r="C57" s="378">
        <v>5</v>
      </c>
      <c r="D57" s="378"/>
      <c r="E57" s="379" t="s">
        <v>344</v>
      </c>
      <c r="F57" s="380">
        <v>2</v>
      </c>
      <c r="G57" s="380" t="s">
        <v>52</v>
      </c>
      <c r="H57" s="380" t="s">
        <v>345</v>
      </c>
      <c r="I57" s="380" t="s">
        <v>313</v>
      </c>
      <c r="J57" s="380">
        <v>1</v>
      </c>
      <c r="K57" s="380" t="s">
        <v>195</v>
      </c>
      <c r="L57" s="381" t="s">
        <v>350</v>
      </c>
      <c r="M57" s="359"/>
    </row>
    <row r="58" spans="1:13" ht="15.75" thickBot="1" x14ac:dyDescent="0.3">
      <c r="A58" s="502"/>
      <c r="B58" s="424"/>
      <c r="C58" s="364">
        <v>10</v>
      </c>
      <c r="D58" s="364"/>
      <c r="E58" s="365" t="s">
        <v>346</v>
      </c>
      <c r="F58" s="366">
        <v>2</v>
      </c>
      <c r="G58" s="366" t="s">
        <v>347</v>
      </c>
      <c r="H58" s="366" t="s">
        <v>348</v>
      </c>
      <c r="I58" s="367" t="s">
        <v>349</v>
      </c>
      <c r="J58" s="367">
        <v>1</v>
      </c>
      <c r="K58" s="367" t="s">
        <v>195</v>
      </c>
      <c r="L58" s="366" t="s">
        <v>351</v>
      </c>
      <c r="M58" s="368"/>
    </row>
    <row r="59" spans="1:13" ht="15.75" thickTop="1" x14ac:dyDescent="0.25">
      <c r="A59" s="502"/>
      <c r="B59" s="469" t="s">
        <v>438</v>
      </c>
      <c r="C59" s="350">
        <v>0</v>
      </c>
      <c r="D59" s="350">
        <f>COUNT(C59:C61)</f>
        <v>3</v>
      </c>
      <c r="E59" s="351" t="s">
        <v>328</v>
      </c>
      <c r="F59" s="352">
        <v>1</v>
      </c>
      <c r="G59" s="352" t="s">
        <v>367</v>
      </c>
      <c r="H59" s="352" t="s">
        <v>360</v>
      </c>
      <c r="I59" s="352" t="s">
        <v>63</v>
      </c>
      <c r="J59" s="352">
        <v>1</v>
      </c>
      <c r="K59" s="352" t="s">
        <v>195</v>
      </c>
      <c r="L59" s="353" t="s">
        <v>372</v>
      </c>
      <c r="M59" s="369">
        <v>150</v>
      </c>
    </row>
    <row r="60" spans="1:13" x14ac:dyDescent="0.25">
      <c r="A60" s="502"/>
      <c r="B60" s="470"/>
      <c r="C60" s="355">
        <v>5</v>
      </c>
      <c r="D60" s="355"/>
      <c r="E60" s="356" t="s">
        <v>361</v>
      </c>
      <c r="F60" s="357">
        <v>1</v>
      </c>
      <c r="G60" s="465" t="s">
        <v>100</v>
      </c>
      <c r="H60" s="357"/>
      <c r="I60" s="357" t="s">
        <v>362</v>
      </c>
      <c r="J60" s="357" t="s">
        <v>297</v>
      </c>
      <c r="K60" s="357" t="s">
        <v>195</v>
      </c>
      <c r="L60" s="358" t="s">
        <v>363</v>
      </c>
      <c r="M60" s="359"/>
    </row>
    <row r="61" spans="1:13" ht="15.75" thickBot="1" x14ac:dyDescent="0.3">
      <c r="A61" s="502"/>
      <c r="B61" s="471"/>
      <c r="C61" s="370">
        <v>10</v>
      </c>
      <c r="D61" s="370"/>
      <c r="E61" s="371" t="s">
        <v>365</v>
      </c>
      <c r="F61" s="372">
        <v>1</v>
      </c>
      <c r="G61" s="372" t="s">
        <v>246</v>
      </c>
      <c r="H61" s="372" t="s">
        <v>364</v>
      </c>
      <c r="I61" s="373" t="s">
        <v>63</v>
      </c>
      <c r="J61" s="373">
        <v>1</v>
      </c>
      <c r="K61" s="373" t="s">
        <v>195</v>
      </c>
      <c r="L61" s="372" t="s">
        <v>366</v>
      </c>
      <c r="M61" s="368"/>
    </row>
    <row r="62" spans="1:13" ht="15.75" thickTop="1" x14ac:dyDescent="0.25">
      <c r="A62" s="502"/>
      <c r="B62" s="472" t="s">
        <v>24</v>
      </c>
      <c r="C62" s="374">
        <v>0</v>
      </c>
      <c r="D62" s="374">
        <f>COUNT(C62:C63)</f>
        <v>2</v>
      </c>
      <c r="E62" s="375" t="s">
        <v>328</v>
      </c>
      <c r="F62" s="376">
        <v>2</v>
      </c>
      <c r="G62" s="376" t="s">
        <v>368</v>
      </c>
      <c r="H62" s="376" t="s">
        <v>360</v>
      </c>
      <c r="I62" s="376" t="s">
        <v>64</v>
      </c>
      <c r="J62" s="376">
        <v>1</v>
      </c>
      <c r="K62" s="376" t="s">
        <v>195</v>
      </c>
      <c r="L62" s="377" t="s">
        <v>372</v>
      </c>
      <c r="M62" s="369">
        <v>300</v>
      </c>
    </row>
    <row r="63" spans="1:13" ht="15.75" thickBot="1" x14ac:dyDescent="0.3">
      <c r="A63" s="502"/>
      <c r="B63" s="471"/>
      <c r="C63" s="370">
        <v>10</v>
      </c>
      <c r="D63" s="370"/>
      <c r="E63" s="371" t="s">
        <v>369</v>
      </c>
      <c r="F63" s="372">
        <v>2</v>
      </c>
      <c r="G63" s="372" t="s">
        <v>370</v>
      </c>
      <c r="H63" s="372" t="s">
        <v>371</v>
      </c>
      <c r="I63" s="373" t="s">
        <v>374</v>
      </c>
      <c r="J63" s="373">
        <v>1</v>
      </c>
      <c r="K63" s="373" t="s">
        <v>195</v>
      </c>
      <c r="L63" s="372" t="s">
        <v>373</v>
      </c>
      <c r="M63" s="368"/>
    </row>
    <row r="64" spans="1:13" ht="15.75" thickTop="1" x14ac:dyDescent="0.25">
      <c r="A64" s="502"/>
      <c r="B64" s="469" t="s">
        <v>439</v>
      </c>
      <c r="C64" s="374">
        <v>0</v>
      </c>
      <c r="D64" s="374">
        <f>COUNT(C64:C66)</f>
        <v>3</v>
      </c>
      <c r="E64" s="375" t="s">
        <v>375</v>
      </c>
      <c r="F64" s="376">
        <v>1</v>
      </c>
      <c r="G64" s="376" t="s">
        <v>376</v>
      </c>
      <c r="H64" s="376" t="s">
        <v>34</v>
      </c>
      <c r="I64" s="376" t="s">
        <v>36</v>
      </c>
      <c r="J64" s="376">
        <v>1</v>
      </c>
      <c r="K64" s="376" t="s">
        <v>195</v>
      </c>
      <c r="L64" s="377" t="s">
        <v>385</v>
      </c>
      <c r="M64" s="369">
        <v>5</v>
      </c>
    </row>
    <row r="65" spans="1:13" x14ac:dyDescent="0.25">
      <c r="A65" s="502"/>
      <c r="B65" s="470"/>
      <c r="C65" s="378">
        <v>5</v>
      </c>
      <c r="D65" s="378"/>
      <c r="E65" s="379" t="s">
        <v>377</v>
      </c>
      <c r="F65" s="380">
        <v>1</v>
      </c>
      <c r="G65" s="380" t="s">
        <v>378</v>
      </c>
      <c r="H65" s="380" t="s">
        <v>34</v>
      </c>
      <c r="I65" s="380" t="s">
        <v>36</v>
      </c>
      <c r="J65" s="380" t="s">
        <v>336</v>
      </c>
      <c r="K65" s="380" t="s">
        <v>195</v>
      </c>
      <c r="L65" s="381" t="s">
        <v>379</v>
      </c>
      <c r="M65" s="359"/>
    </row>
    <row r="66" spans="1:13" ht="15.75" thickBot="1" x14ac:dyDescent="0.3">
      <c r="A66" s="435"/>
      <c r="B66" s="471"/>
      <c r="C66" s="364">
        <v>10</v>
      </c>
      <c r="D66" s="364"/>
      <c r="E66" s="365" t="s">
        <v>380</v>
      </c>
      <c r="F66" s="366">
        <v>0</v>
      </c>
      <c r="G66" s="366" t="s">
        <v>381</v>
      </c>
      <c r="H66" s="366" t="s">
        <v>34</v>
      </c>
      <c r="I66" s="367" t="s">
        <v>36</v>
      </c>
      <c r="J66" s="367">
        <v>1</v>
      </c>
      <c r="K66" s="367" t="s">
        <v>235</v>
      </c>
      <c r="L66" s="366" t="s">
        <v>382</v>
      </c>
      <c r="M66" s="368"/>
    </row>
    <row r="67" spans="1:13" ht="15.75" thickTop="1" x14ac:dyDescent="0.25">
      <c r="A67" s="435"/>
      <c r="B67" s="472" t="s">
        <v>440</v>
      </c>
      <c r="C67" s="350">
        <v>0</v>
      </c>
      <c r="D67" s="350">
        <f>COUNT(C67:C69)</f>
        <v>3</v>
      </c>
      <c r="E67" s="351" t="s">
        <v>383</v>
      </c>
      <c r="F67" s="352">
        <v>0.75</v>
      </c>
      <c r="G67" s="352" t="s">
        <v>384</v>
      </c>
      <c r="H67" s="352" t="s">
        <v>34</v>
      </c>
      <c r="I67" s="352" t="s">
        <v>67</v>
      </c>
      <c r="J67" s="352">
        <v>1</v>
      </c>
      <c r="K67" s="352" t="s">
        <v>195</v>
      </c>
      <c r="L67" s="353" t="s">
        <v>386</v>
      </c>
      <c r="M67" s="369">
        <v>4</v>
      </c>
    </row>
    <row r="68" spans="1:13" x14ac:dyDescent="0.25">
      <c r="A68" s="435"/>
      <c r="B68" s="470"/>
      <c r="C68" s="355">
        <v>5</v>
      </c>
      <c r="D68" s="355"/>
      <c r="E68" s="356" t="s">
        <v>387</v>
      </c>
      <c r="F68" s="357">
        <v>1.5</v>
      </c>
      <c r="G68" s="357" t="s">
        <v>384</v>
      </c>
      <c r="H68" s="357" t="s">
        <v>34</v>
      </c>
      <c r="I68" s="357" t="s">
        <v>67</v>
      </c>
      <c r="J68" s="357">
        <v>2</v>
      </c>
      <c r="K68" s="357" t="s">
        <v>195</v>
      </c>
      <c r="L68" s="358" t="s">
        <v>388</v>
      </c>
      <c r="M68" s="359"/>
    </row>
    <row r="69" spans="1:13" ht="15.75" thickBot="1" x14ac:dyDescent="0.3">
      <c r="A69" s="435"/>
      <c r="B69" s="471"/>
      <c r="C69" s="370">
        <v>10</v>
      </c>
      <c r="D69" s="370"/>
      <c r="E69" s="371" t="s">
        <v>390</v>
      </c>
      <c r="F69" s="372">
        <v>1.5</v>
      </c>
      <c r="G69" s="372" t="s">
        <v>246</v>
      </c>
      <c r="H69" s="372" t="s">
        <v>37</v>
      </c>
      <c r="I69" s="373" t="s">
        <v>39</v>
      </c>
      <c r="J69" s="373">
        <v>6</v>
      </c>
      <c r="K69" s="373" t="s">
        <v>195</v>
      </c>
      <c r="L69" s="372" t="s">
        <v>389</v>
      </c>
      <c r="M69" s="368"/>
    </row>
    <row r="70" spans="1:13" ht="15.75" thickTop="1" x14ac:dyDescent="0.25">
      <c r="A70" s="435"/>
      <c r="B70" s="472" t="s">
        <v>441</v>
      </c>
      <c r="C70" s="350">
        <v>0</v>
      </c>
      <c r="D70" s="350">
        <f>COUNT(C70:C72)</f>
        <v>3</v>
      </c>
      <c r="E70" s="351" t="s">
        <v>407</v>
      </c>
      <c r="F70" s="352">
        <v>0</v>
      </c>
      <c r="G70" s="352" t="s">
        <v>393</v>
      </c>
      <c r="H70" s="352" t="s">
        <v>34</v>
      </c>
      <c r="I70" s="352" t="s">
        <v>68</v>
      </c>
      <c r="J70" s="352">
        <v>1</v>
      </c>
      <c r="K70" s="352" t="s">
        <v>195</v>
      </c>
      <c r="L70" s="436" t="s">
        <v>392</v>
      </c>
      <c r="M70" s="393">
        <v>3</v>
      </c>
    </row>
    <row r="71" spans="1:13" x14ac:dyDescent="0.25">
      <c r="A71" s="435"/>
      <c r="B71" s="470"/>
      <c r="C71" s="355">
        <v>5</v>
      </c>
      <c r="D71" s="355"/>
      <c r="E71" s="356" t="s">
        <v>387</v>
      </c>
      <c r="F71" s="357">
        <v>1</v>
      </c>
      <c r="G71" s="357" t="s">
        <v>393</v>
      </c>
      <c r="H71" s="357" t="s">
        <v>34</v>
      </c>
      <c r="I71" s="357" t="s">
        <v>68</v>
      </c>
      <c r="J71" s="357">
        <v>3</v>
      </c>
      <c r="K71" s="357" t="s">
        <v>195</v>
      </c>
      <c r="L71" s="437" t="s">
        <v>408</v>
      </c>
      <c r="M71" s="394"/>
    </row>
    <row r="72" spans="1:13" ht="15.75" thickBot="1" x14ac:dyDescent="0.3">
      <c r="A72" s="435"/>
      <c r="B72" s="473"/>
      <c r="C72" s="370">
        <v>10</v>
      </c>
      <c r="D72" s="370"/>
      <c r="E72" s="371" t="s">
        <v>406</v>
      </c>
      <c r="F72" s="372">
        <v>1.5</v>
      </c>
      <c r="G72" s="372" t="s">
        <v>391</v>
      </c>
      <c r="H72" s="372" t="s">
        <v>34</v>
      </c>
      <c r="I72" s="373" t="s">
        <v>395</v>
      </c>
      <c r="J72" s="373" t="s">
        <v>103</v>
      </c>
      <c r="K72" s="373" t="s">
        <v>195</v>
      </c>
      <c r="L72" s="503" t="s">
        <v>394</v>
      </c>
      <c r="M72" s="400"/>
    </row>
    <row r="73" spans="1:13" ht="15.75" thickTop="1" x14ac:dyDescent="0.25">
      <c r="A73" s="435"/>
      <c r="B73" s="469" t="s">
        <v>442</v>
      </c>
      <c r="C73" s="374">
        <v>0</v>
      </c>
      <c r="D73" s="374">
        <f>COUNT(C73:C75)</f>
        <v>3</v>
      </c>
      <c r="E73" s="375" t="s">
        <v>396</v>
      </c>
      <c r="F73" s="376">
        <v>1</v>
      </c>
      <c r="G73" s="376" t="s">
        <v>246</v>
      </c>
      <c r="H73" s="376" t="s">
        <v>34</v>
      </c>
      <c r="I73" s="376" t="s">
        <v>40</v>
      </c>
      <c r="J73" s="376">
        <v>1</v>
      </c>
      <c r="K73" s="376" t="s">
        <v>243</v>
      </c>
      <c r="L73" s="377" t="s">
        <v>398</v>
      </c>
      <c r="M73" s="354">
        <v>5</v>
      </c>
    </row>
    <row r="74" spans="1:13" x14ac:dyDescent="0.25">
      <c r="A74" s="435"/>
      <c r="B74" s="470"/>
      <c r="C74" s="378">
        <v>5</v>
      </c>
      <c r="D74" s="378"/>
      <c r="E74" s="379" t="s">
        <v>397</v>
      </c>
      <c r="F74" s="380">
        <v>1</v>
      </c>
      <c r="G74" s="380"/>
      <c r="H74" s="380"/>
      <c r="I74" s="380"/>
      <c r="J74" s="380"/>
      <c r="K74" s="380" t="s">
        <v>260</v>
      </c>
      <c r="L74" s="381" t="s">
        <v>399</v>
      </c>
      <c r="M74" s="359"/>
    </row>
    <row r="75" spans="1:13" ht="15.75" thickBot="1" x14ac:dyDescent="0.3">
      <c r="A75" s="435"/>
      <c r="B75" s="471"/>
      <c r="C75" s="364">
        <v>10</v>
      </c>
      <c r="D75" s="364"/>
      <c r="E75" s="365" t="s">
        <v>400</v>
      </c>
      <c r="F75" s="366">
        <v>1</v>
      </c>
      <c r="G75" s="366" t="s">
        <v>246</v>
      </c>
      <c r="H75" s="366" t="s">
        <v>34</v>
      </c>
      <c r="I75" s="367" t="s">
        <v>48</v>
      </c>
      <c r="J75" s="367">
        <v>1</v>
      </c>
      <c r="K75" s="367" t="s">
        <v>195</v>
      </c>
      <c r="L75" s="366" t="s">
        <v>401</v>
      </c>
      <c r="M75" s="368"/>
    </row>
    <row r="76" spans="1:13" ht="15.75" thickTop="1" x14ac:dyDescent="0.25">
      <c r="A76" s="435"/>
      <c r="B76" s="472" t="s">
        <v>443</v>
      </c>
      <c r="C76" s="350">
        <v>0</v>
      </c>
      <c r="D76" s="350">
        <f>COUNT(C76:C78)</f>
        <v>3</v>
      </c>
      <c r="E76" s="351" t="s">
        <v>396</v>
      </c>
      <c r="F76" s="352">
        <v>1</v>
      </c>
      <c r="G76" s="352" t="s">
        <v>246</v>
      </c>
      <c r="H76" s="352" t="s">
        <v>34</v>
      </c>
      <c r="I76" s="352" t="s">
        <v>39</v>
      </c>
      <c r="J76" s="352">
        <v>1</v>
      </c>
      <c r="K76" s="352" t="s">
        <v>243</v>
      </c>
      <c r="L76" s="353" t="s">
        <v>402</v>
      </c>
      <c r="M76" s="369">
        <v>5</v>
      </c>
    </row>
    <row r="77" spans="1:13" x14ac:dyDescent="0.25">
      <c r="A77" s="435"/>
      <c r="B77" s="470"/>
      <c r="C77" s="355">
        <v>5</v>
      </c>
      <c r="D77" s="378"/>
      <c r="E77" s="356" t="s">
        <v>397</v>
      </c>
      <c r="F77" s="357">
        <v>1</v>
      </c>
      <c r="G77" s="357"/>
      <c r="H77" s="357"/>
      <c r="I77" s="357"/>
      <c r="J77" s="357"/>
      <c r="K77" s="357" t="s">
        <v>260</v>
      </c>
      <c r="L77" s="358" t="s">
        <v>413</v>
      </c>
      <c r="M77" s="359"/>
    </row>
    <row r="78" spans="1:13" ht="15.75" thickBot="1" x14ac:dyDescent="0.3">
      <c r="A78" s="435"/>
      <c r="B78" s="471"/>
      <c r="C78" s="370">
        <v>10</v>
      </c>
      <c r="D78" s="370"/>
      <c r="E78" s="371" t="s">
        <v>400</v>
      </c>
      <c r="F78" s="372">
        <v>1</v>
      </c>
      <c r="G78" s="372" t="s">
        <v>246</v>
      </c>
      <c r="H78" s="372" t="s">
        <v>34</v>
      </c>
      <c r="I78" s="373" t="s">
        <v>321</v>
      </c>
      <c r="J78" s="373">
        <v>1</v>
      </c>
      <c r="K78" s="373" t="s">
        <v>195</v>
      </c>
      <c r="L78" s="372" t="s">
        <v>401</v>
      </c>
      <c r="M78" s="368"/>
    </row>
    <row r="79" spans="1:13" ht="15.75" thickTop="1" x14ac:dyDescent="0.25">
      <c r="A79" s="435"/>
      <c r="B79" s="472" t="s">
        <v>444</v>
      </c>
      <c r="C79" s="374">
        <v>0</v>
      </c>
      <c r="D79" s="374">
        <f>COUNT(C79:C80)</f>
        <v>2</v>
      </c>
      <c r="E79" s="375" t="s">
        <v>405</v>
      </c>
      <c r="F79" s="376">
        <v>1</v>
      </c>
      <c r="G79" s="376" t="s">
        <v>246</v>
      </c>
      <c r="H79" s="376" t="s">
        <v>34</v>
      </c>
      <c r="I79" s="376" t="s">
        <v>321</v>
      </c>
      <c r="J79" s="376">
        <v>1</v>
      </c>
      <c r="K79" s="376" t="s">
        <v>243</v>
      </c>
      <c r="L79" s="377" t="s">
        <v>411</v>
      </c>
      <c r="M79" s="369">
        <v>3</v>
      </c>
    </row>
    <row r="80" spans="1:13" ht="15.75" thickBot="1" x14ac:dyDescent="0.3">
      <c r="A80" s="435"/>
      <c r="B80" s="471"/>
      <c r="C80" s="370">
        <v>10</v>
      </c>
      <c r="D80" s="370"/>
      <c r="E80" s="371" t="s">
        <v>409</v>
      </c>
      <c r="F80" s="372">
        <v>1</v>
      </c>
      <c r="G80" s="372"/>
      <c r="H80" s="372"/>
      <c r="I80" s="373"/>
      <c r="J80" s="373"/>
      <c r="K80" s="373" t="s">
        <v>195</v>
      </c>
      <c r="L80" s="372" t="s">
        <v>410</v>
      </c>
      <c r="M80" s="368"/>
    </row>
    <row r="81" spans="1:13" ht="15.75" thickTop="1" x14ac:dyDescent="0.25">
      <c r="A81" s="435"/>
      <c r="B81" s="472" t="s">
        <v>445</v>
      </c>
      <c r="C81" s="374">
        <v>0</v>
      </c>
      <c r="D81" s="374">
        <f>COUNT(C81:C83)</f>
        <v>3</v>
      </c>
      <c r="E81" s="375" t="s">
        <v>405</v>
      </c>
      <c r="F81" s="376">
        <v>1</v>
      </c>
      <c r="G81" s="376" t="s">
        <v>246</v>
      </c>
      <c r="H81" s="376" t="s">
        <v>34</v>
      </c>
      <c r="I81" s="376" t="s">
        <v>67</v>
      </c>
      <c r="J81" s="376">
        <v>1</v>
      </c>
      <c r="K81" s="376" t="s">
        <v>243</v>
      </c>
      <c r="L81" s="377" t="s">
        <v>404</v>
      </c>
      <c r="M81" s="369">
        <v>10</v>
      </c>
    </row>
    <row r="82" spans="1:13" x14ac:dyDescent="0.25">
      <c r="A82" s="435"/>
      <c r="B82" s="470"/>
      <c r="C82" s="378">
        <v>6</v>
      </c>
      <c r="D82" s="378"/>
      <c r="E82" s="379" t="s">
        <v>412</v>
      </c>
      <c r="F82" s="380">
        <v>1</v>
      </c>
      <c r="G82" s="380"/>
      <c r="H82" s="380"/>
      <c r="I82" s="380"/>
      <c r="J82" s="380"/>
      <c r="K82" s="380" t="s">
        <v>260</v>
      </c>
      <c r="L82" s="381" t="s">
        <v>414</v>
      </c>
      <c r="M82" s="359"/>
    </row>
    <row r="83" spans="1:13" ht="15.75" customHeight="1" thickBot="1" x14ac:dyDescent="0.3">
      <c r="A83" s="435"/>
      <c r="B83" s="471"/>
      <c r="C83" s="364">
        <v>10</v>
      </c>
      <c r="D83" s="364"/>
      <c r="E83" s="365" t="s">
        <v>415</v>
      </c>
      <c r="F83" s="366">
        <v>1</v>
      </c>
      <c r="G83" s="366"/>
      <c r="H83" s="366"/>
      <c r="I83" s="367"/>
      <c r="J83" s="367"/>
      <c r="K83" s="367" t="s">
        <v>195</v>
      </c>
      <c r="L83" s="366" t="s">
        <v>417</v>
      </c>
      <c r="M83" s="368"/>
    </row>
    <row r="84" spans="1:13" ht="15.75" customHeight="1" thickTop="1" x14ac:dyDescent="0.25">
      <c r="A84" s="435"/>
      <c r="B84" s="472" t="s">
        <v>446</v>
      </c>
      <c r="C84" s="350">
        <v>0</v>
      </c>
      <c r="D84" s="350">
        <f>COUNT(C84:C86)</f>
        <v>3</v>
      </c>
      <c r="E84" s="351" t="s">
        <v>396</v>
      </c>
      <c r="F84" s="352">
        <v>1</v>
      </c>
      <c r="G84" s="352" t="s">
        <v>246</v>
      </c>
      <c r="H84" s="352" t="s">
        <v>34</v>
      </c>
      <c r="I84" s="352" t="s">
        <v>40</v>
      </c>
      <c r="J84" s="352">
        <v>1</v>
      </c>
      <c r="K84" s="352" t="s">
        <v>243</v>
      </c>
      <c r="L84" s="353" t="s">
        <v>404</v>
      </c>
      <c r="M84" s="369">
        <v>50</v>
      </c>
    </row>
    <row r="85" spans="1:13" ht="15.75" customHeight="1" x14ac:dyDescent="0.25">
      <c r="A85" s="435"/>
      <c r="B85" s="470"/>
      <c r="C85" s="355">
        <v>5</v>
      </c>
      <c r="D85" s="355"/>
      <c r="E85" s="356" t="s">
        <v>397</v>
      </c>
      <c r="F85" s="357">
        <v>1</v>
      </c>
      <c r="G85" s="357"/>
      <c r="H85" s="357"/>
      <c r="I85" s="357"/>
      <c r="J85" s="357"/>
      <c r="K85" s="357" t="s">
        <v>260</v>
      </c>
      <c r="L85" s="358" t="s">
        <v>403</v>
      </c>
      <c r="M85" s="359"/>
    </row>
    <row r="86" spans="1:13" ht="15.75" thickBot="1" x14ac:dyDescent="0.3">
      <c r="A86" s="435"/>
      <c r="B86" s="471"/>
      <c r="C86" s="370">
        <v>10</v>
      </c>
      <c r="D86" s="370"/>
      <c r="E86" s="371" t="s">
        <v>400</v>
      </c>
      <c r="F86" s="372">
        <v>1</v>
      </c>
      <c r="G86" s="372" t="s">
        <v>246</v>
      </c>
      <c r="H86" s="372" t="s">
        <v>34</v>
      </c>
      <c r="I86" s="373" t="s">
        <v>48</v>
      </c>
      <c r="J86" s="373">
        <v>1</v>
      </c>
      <c r="K86" s="373" t="s">
        <v>195</v>
      </c>
      <c r="L86" s="372" t="s">
        <v>401</v>
      </c>
      <c r="M86" s="368"/>
    </row>
    <row r="87" spans="1:13" ht="15.75" thickTop="1" x14ac:dyDescent="0.25">
      <c r="A87" s="435"/>
      <c r="B87" s="472" t="s">
        <v>447</v>
      </c>
      <c r="C87" s="374">
        <v>0</v>
      </c>
      <c r="D87" s="374">
        <f>COUNT(C87:C89)</f>
        <v>3</v>
      </c>
      <c r="E87" s="375" t="s">
        <v>396</v>
      </c>
      <c r="F87" s="376">
        <v>1</v>
      </c>
      <c r="G87" s="376" t="s">
        <v>246</v>
      </c>
      <c r="H87" s="376" t="s">
        <v>34</v>
      </c>
      <c r="I87" s="376" t="s">
        <v>39</v>
      </c>
      <c r="J87" s="376">
        <v>1</v>
      </c>
      <c r="K87" s="376" t="s">
        <v>243</v>
      </c>
      <c r="L87" s="377" t="s">
        <v>411</v>
      </c>
      <c r="M87" s="369">
        <v>50</v>
      </c>
    </row>
    <row r="88" spans="1:13" x14ac:dyDescent="0.25">
      <c r="A88" s="435"/>
      <c r="B88" s="470"/>
      <c r="C88" s="378">
        <v>5</v>
      </c>
      <c r="D88" s="378"/>
      <c r="E88" s="379" t="s">
        <v>397</v>
      </c>
      <c r="F88" s="380">
        <v>1</v>
      </c>
      <c r="G88" s="380"/>
      <c r="H88" s="380"/>
      <c r="I88" s="380"/>
      <c r="J88" s="380"/>
      <c r="K88" s="380" t="s">
        <v>260</v>
      </c>
      <c r="L88" s="381" t="s">
        <v>418</v>
      </c>
      <c r="M88" s="359"/>
    </row>
    <row r="89" spans="1:13" ht="15.75" thickBot="1" x14ac:dyDescent="0.3">
      <c r="A89" s="435"/>
      <c r="B89" s="471"/>
      <c r="C89" s="364">
        <v>10</v>
      </c>
      <c r="D89" s="364"/>
      <c r="E89" s="365" t="s">
        <v>400</v>
      </c>
      <c r="F89" s="366">
        <v>1</v>
      </c>
      <c r="G89" s="366" t="s">
        <v>246</v>
      </c>
      <c r="H89" s="366" t="s">
        <v>34</v>
      </c>
      <c r="I89" s="367" t="s">
        <v>321</v>
      </c>
      <c r="J89" s="367">
        <v>1</v>
      </c>
      <c r="K89" s="367" t="s">
        <v>195</v>
      </c>
      <c r="L89" s="366" t="s">
        <v>401</v>
      </c>
      <c r="M89" s="368"/>
    </row>
    <row r="90" spans="1:13" ht="15.75" thickTop="1" x14ac:dyDescent="0.25">
      <c r="A90" s="435"/>
      <c r="B90" s="472" t="s">
        <v>448</v>
      </c>
      <c r="C90" s="350">
        <v>0</v>
      </c>
      <c r="D90" s="350">
        <f>COUNT(C90:C91)</f>
        <v>2</v>
      </c>
      <c r="E90" s="351" t="s">
        <v>405</v>
      </c>
      <c r="F90" s="352">
        <v>1</v>
      </c>
      <c r="G90" s="352" t="s">
        <v>246</v>
      </c>
      <c r="H90" s="352" t="s">
        <v>34</v>
      </c>
      <c r="I90" s="352" t="s">
        <v>321</v>
      </c>
      <c r="J90" s="352">
        <v>1</v>
      </c>
      <c r="K90" s="352" t="s">
        <v>243</v>
      </c>
      <c r="L90" s="401" t="s">
        <v>419</v>
      </c>
      <c r="M90" s="484">
        <v>30</v>
      </c>
    </row>
    <row r="91" spans="1:13" ht="15.75" thickBot="1" x14ac:dyDescent="0.3">
      <c r="A91" s="435"/>
      <c r="B91" s="471"/>
      <c r="C91" s="364">
        <v>10</v>
      </c>
      <c r="D91" s="364"/>
      <c r="E91" s="365" t="s">
        <v>409</v>
      </c>
      <c r="F91" s="366">
        <v>1</v>
      </c>
      <c r="G91" s="366"/>
      <c r="H91" s="366"/>
      <c r="I91" s="367"/>
      <c r="J91" s="367"/>
      <c r="K91" s="367" t="s">
        <v>195</v>
      </c>
      <c r="L91" s="391" t="s">
        <v>410</v>
      </c>
      <c r="M91" s="392"/>
    </row>
    <row r="92" spans="1:13" ht="15.75" thickTop="1" x14ac:dyDescent="0.25">
      <c r="A92" s="435"/>
      <c r="B92" s="472" t="s">
        <v>451</v>
      </c>
      <c r="C92" s="350">
        <v>0</v>
      </c>
      <c r="D92" s="350">
        <f>COUNT(C92:C94)</f>
        <v>3</v>
      </c>
      <c r="E92" s="485" t="s">
        <v>405</v>
      </c>
      <c r="F92" s="486">
        <v>1</v>
      </c>
      <c r="G92" s="486" t="s">
        <v>246</v>
      </c>
      <c r="H92" s="486" t="s">
        <v>34</v>
      </c>
      <c r="I92" s="486" t="s">
        <v>67</v>
      </c>
      <c r="J92" s="486">
        <v>1</v>
      </c>
      <c r="K92" s="486" t="s">
        <v>243</v>
      </c>
      <c r="L92" s="487" t="s">
        <v>411</v>
      </c>
      <c r="M92" s="488">
        <v>100</v>
      </c>
    </row>
    <row r="93" spans="1:13" x14ac:dyDescent="0.25">
      <c r="A93" s="435"/>
      <c r="B93" s="470"/>
      <c r="C93" s="355">
        <v>5</v>
      </c>
      <c r="D93" s="355"/>
      <c r="E93" s="489" t="s">
        <v>412</v>
      </c>
      <c r="F93" s="490">
        <v>1</v>
      </c>
      <c r="G93" s="490"/>
      <c r="H93" s="490"/>
      <c r="I93" s="490"/>
      <c r="J93" s="490"/>
      <c r="K93" s="490" t="s">
        <v>260</v>
      </c>
      <c r="L93" s="491" t="s">
        <v>420</v>
      </c>
      <c r="M93" s="492"/>
    </row>
    <row r="94" spans="1:13" ht="15.75" thickBot="1" x14ac:dyDescent="0.3">
      <c r="A94" s="435"/>
      <c r="B94" s="473"/>
      <c r="C94" s="382">
        <v>10</v>
      </c>
      <c r="D94" s="382"/>
      <c r="E94" s="493" t="s">
        <v>415</v>
      </c>
      <c r="F94" s="494">
        <v>1</v>
      </c>
      <c r="G94" s="494"/>
      <c r="H94" s="494"/>
      <c r="I94" s="494"/>
      <c r="J94" s="494"/>
      <c r="K94" s="494" t="s">
        <v>195</v>
      </c>
      <c r="L94" s="495" t="s">
        <v>421</v>
      </c>
      <c r="M94" s="496"/>
    </row>
    <row r="95" spans="1:13" ht="15.75" thickTop="1" x14ac:dyDescent="0.25"/>
  </sheetData>
  <mergeCells count="102">
    <mergeCell ref="B87:B89"/>
    <mergeCell ref="B90:B91"/>
    <mergeCell ref="B92:B94"/>
    <mergeCell ref="B73:B75"/>
    <mergeCell ref="B76:B78"/>
    <mergeCell ref="B79:B80"/>
    <mergeCell ref="B81:B83"/>
    <mergeCell ref="B84:B86"/>
    <mergeCell ref="B37:B40"/>
    <mergeCell ref="B41:B44"/>
    <mergeCell ref="B64:B66"/>
    <mergeCell ref="B67:B69"/>
    <mergeCell ref="B70:B72"/>
    <mergeCell ref="B45:B48"/>
    <mergeCell ref="B49:B52"/>
    <mergeCell ref="B53:B55"/>
    <mergeCell ref="B56:B58"/>
    <mergeCell ref="B59:B61"/>
    <mergeCell ref="B62:B63"/>
    <mergeCell ref="B21:B23"/>
    <mergeCell ref="B24:B26"/>
    <mergeCell ref="B27:B30"/>
    <mergeCell ref="B31:B33"/>
    <mergeCell ref="B34:B36"/>
    <mergeCell ref="B3:B6"/>
    <mergeCell ref="B7:B9"/>
    <mergeCell ref="B10:B14"/>
    <mergeCell ref="B15:B17"/>
    <mergeCell ref="B18:B20"/>
    <mergeCell ref="M87:M89"/>
    <mergeCell ref="M90:M91"/>
    <mergeCell ref="M92:M94"/>
    <mergeCell ref="M73:M75"/>
    <mergeCell ref="M76:M78"/>
    <mergeCell ref="M79:M80"/>
    <mergeCell ref="M81:M83"/>
    <mergeCell ref="M84:M86"/>
    <mergeCell ref="M62:M63"/>
    <mergeCell ref="M64:M66"/>
    <mergeCell ref="M67:M69"/>
    <mergeCell ref="M70:M72"/>
    <mergeCell ref="M3:M6"/>
    <mergeCell ref="M7:M9"/>
    <mergeCell ref="M10:M14"/>
    <mergeCell ref="M53:M55"/>
    <mergeCell ref="M56:M58"/>
    <mergeCell ref="Q1:R1"/>
    <mergeCell ref="Q16:R16"/>
    <mergeCell ref="M49:M52"/>
    <mergeCell ref="M59:M61"/>
    <mergeCell ref="M41:M44"/>
    <mergeCell ref="M24:M26"/>
    <mergeCell ref="M27:M30"/>
    <mergeCell ref="M31:M33"/>
    <mergeCell ref="M34:M36"/>
    <mergeCell ref="M37:M40"/>
    <mergeCell ref="M15:M17"/>
    <mergeCell ref="M18:M20"/>
    <mergeCell ref="M21:M23"/>
    <mergeCell ref="M45:M48"/>
    <mergeCell ref="AL4:AO4"/>
    <mergeCell ref="AH3:AI3"/>
    <mergeCell ref="AJ3:AK3"/>
    <mergeCell ref="AL3:AM3"/>
    <mergeCell ref="AN3:AO3"/>
    <mergeCell ref="Z18:AC21"/>
    <mergeCell ref="AD18:AG21"/>
    <mergeCell ref="AH18:AK21"/>
    <mergeCell ref="AL18:AO21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Z17:AC17"/>
    <mergeCell ref="AD17:AG17"/>
    <mergeCell ref="AH17:AK17"/>
    <mergeCell ref="AL17:AO17"/>
    <mergeCell ref="Z14:AO14"/>
    <mergeCell ref="Z15:AA15"/>
    <mergeCell ref="AD15:AE15"/>
    <mergeCell ref="Z3:AA3"/>
    <mergeCell ref="AB3:AC3"/>
    <mergeCell ref="AD3:AE3"/>
    <mergeCell ref="AF3:AG3"/>
    <mergeCell ref="Z6:AC9"/>
    <mergeCell ref="AD6:AG9"/>
    <mergeCell ref="AH6:AK9"/>
    <mergeCell ref="AL6:AO9"/>
    <mergeCell ref="AH15:AI15"/>
    <mergeCell ref="AL15:AM15"/>
    <mergeCell ref="Z4:AC4"/>
    <mergeCell ref="AD4:AG4"/>
    <mergeCell ref="AH4:AK4"/>
    <mergeCell ref="Z1:AO1"/>
    <mergeCell ref="Z2:AA2"/>
    <mergeCell ref="AD2:AE2"/>
    <mergeCell ref="AH2:AI2"/>
    <mergeCell ref="AL2:AM2"/>
  </mergeCells>
  <phoneticPr fontId="9" type="noConversion"/>
  <conditionalFormatting sqref="Z6:AC12">
    <cfRule type="expression" dxfId="11" priority="8">
      <formula>$AB$3&gt;=MAX($Q$3:$Q$10)</formula>
    </cfRule>
  </conditionalFormatting>
  <conditionalFormatting sqref="Z18:AC24">
    <cfRule type="expression" dxfId="10" priority="3">
      <formula>$AB$16&gt;=MAX($Q$18:$Q$24)</formula>
    </cfRule>
  </conditionalFormatting>
  <conditionalFormatting sqref="Z4:AM5">
    <cfRule type="expression" dxfId="9" priority="5">
      <formula>AB3&gt;=MAX($Q$3:$Q$10)</formula>
    </cfRule>
  </conditionalFormatting>
  <conditionalFormatting sqref="Z17:AM17">
    <cfRule type="expression" dxfId="8" priority="10">
      <formula>AB16&gt;=MAX($Q$18:$Q$24)</formula>
    </cfRule>
  </conditionalFormatting>
  <conditionalFormatting sqref="AD6:AG12">
    <cfRule type="expression" dxfId="7" priority="9">
      <formula>$AF$3&gt;=MAX($Q$3:$Q$10)</formula>
    </cfRule>
  </conditionalFormatting>
  <conditionalFormatting sqref="AD18:AG24">
    <cfRule type="expression" dxfId="6" priority="4">
      <formula>$AF$16&gt;=MAX($Q$18:$Q$24)</formula>
    </cfRule>
  </conditionalFormatting>
  <conditionalFormatting sqref="AH6:AK12">
    <cfRule type="expression" dxfId="5" priority="7">
      <formula>$AJ$3&gt;=MAX($Q$3:$Q$10)</formula>
    </cfRule>
  </conditionalFormatting>
  <conditionalFormatting sqref="AH18:AK24">
    <cfRule type="expression" dxfId="4" priority="2">
      <formula>$AJ$16&gt;=MAX($Q$18:$Q$24)</formula>
    </cfRule>
  </conditionalFormatting>
  <conditionalFormatting sqref="AL6:AO12">
    <cfRule type="expression" dxfId="3" priority="6">
      <formula>$AN$3&gt;=MAX($Q$3:$Q$10)</formula>
    </cfRule>
  </conditionalFormatting>
  <conditionalFormatting sqref="AL18:AO24">
    <cfRule type="expression" dxfId="2" priority="1">
      <formula>$AN$16&gt;=MAX($Q$18:$Q$24)</formula>
    </cfRule>
  </conditionalFormatting>
  <conditionalFormatting sqref="AN4:AO5">
    <cfRule type="expression" dxfId="1" priority="11">
      <formula>#REF!&gt;=MAX($Q$3:$Q$10)</formula>
    </cfRule>
  </conditionalFormatting>
  <conditionalFormatting sqref="AN17:AO17">
    <cfRule type="expression" dxfId="0" priority="12">
      <formula>#REF!&gt;=MAX($Q$18:$Q$24)</formula>
    </cfRule>
  </conditionalFormatting>
  <dataValidations disablePrompts="1" count="1">
    <dataValidation type="whole" allowBlank="1" showInputMessage="1" showErrorMessage="1" errorTitle="Tylko dodatnie" error="Wpisz swój wynik rzutu (z bonusem) jeżeli wyszedł ujemny to wpisz 1" sqref="AB3:AC3 AB16:AC16 AJ3:AK3 AJ16:AK16 AN16:AO16 AF3:AG3 AF16:AG16 AN3:AO3" xr:uid="{5A5A4BF2-A1DE-4A10-9D75-7EE127F9FEAC}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Ekwipunek</vt:lpstr>
      <vt:lpstr>Broń biała</vt:lpstr>
      <vt:lpstr>Broń zasięgowa</vt:lpstr>
      <vt:lpstr>Tarcze</vt:lpstr>
      <vt:lpstr>Zbroje</vt:lpstr>
      <vt:lpstr>Różne</vt:lpstr>
      <vt:lpstr>Zajmowane miejsce</vt:lpstr>
      <vt:lpstr>Obl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Konrad</dc:creator>
  <dc:description/>
  <cp:lastModifiedBy>Konrad Szpadzik</cp:lastModifiedBy>
  <cp:revision>1</cp:revision>
  <dcterms:created xsi:type="dcterms:W3CDTF">2015-06-05T18:19:34Z</dcterms:created>
  <dcterms:modified xsi:type="dcterms:W3CDTF">2026-07-07T17:43:56Z</dcterms:modified>
  <dc:language>en-US</dc:language>
</cp:coreProperties>
</file>